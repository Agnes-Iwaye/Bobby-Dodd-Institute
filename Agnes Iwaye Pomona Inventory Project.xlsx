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lobalwitness/Downloads/"/>
    </mc:Choice>
  </mc:AlternateContent>
  <xr:revisionPtr revIDLastSave="0" documentId="13_ncr:1_{E04AE987-E32F-174E-870E-C659DA152AEE}" xr6:coauthVersionLast="47" xr6:coauthVersionMax="47" xr10:uidLastSave="{00000000-0000-0000-0000-000000000000}"/>
  <bookViews>
    <workbookView xWindow="0" yWindow="740" windowWidth="29400" windowHeight="16840" activeTab="4" xr2:uid="{00000000-000D-0000-FFFF-FFFF00000000}"/>
  </bookViews>
  <sheets>
    <sheet name="Portfolio Summary" sheetId="1" r:id="rId1"/>
    <sheet name="Dashboard" sheetId="2" r:id="rId2"/>
    <sheet name="Inventory Tracker" sheetId="3" r:id="rId3"/>
    <sheet name="Historical Data" sheetId="4" r:id="rId4"/>
    <sheet name="KPI Defini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5" i="4" l="1"/>
  <c r="E75" i="4"/>
  <c r="O74" i="4"/>
  <c r="E74" i="4"/>
  <c r="O73" i="4"/>
  <c r="E73" i="4"/>
  <c r="O72" i="4"/>
  <c r="E72" i="4"/>
  <c r="O71" i="4"/>
  <c r="E71" i="4"/>
  <c r="O70" i="4"/>
  <c r="E70" i="4"/>
  <c r="O69" i="4"/>
  <c r="E69" i="4"/>
  <c r="O68" i="4"/>
  <c r="E68" i="4"/>
  <c r="O67" i="4"/>
  <c r="E67" i="4"/>
  <c r="O66" i="4"/>
  <c r="E66" i="4"/>
  <c r="O65" i="4"/>
  <c r="E65" i="4"/>
  <c r="O64" i="4"/>
  <c r="E64" i="4"/>
  <c r="O63" i="4"/>
  <c r="E63" i="4"/>
  <c r="O62" i="4"/>
  <c r="E62" i="4"/>
  <c r="O61" i="4"/>
  <c r="E61" i="4"/>
  <c r="O60" i="4"/>
  <c r="E60" i="4"/>
  <c r="O59" i="4"/>
  <c r="E59" i="4"/>
  <c r="O58" i="4"/>
  <c r="E58" i="4"/>
  <c r="O57" i="4"/>
  <c r="E57" i="4"/>
  <c r="O56" i="4"/>
  <c r="E56" i="4"/>
  <c r="O55" i="4"/>
  <c r="E55" i="4"/>
  <c r="O54" i="4"/>
  <c r="E54" i="4"/>
  <c r="O53" i="4"/>
  <c r="E53" i="4"/>
  <c r="O52" i="4"/>
  <c r="E52" i="4"/>
  <c r="O51" i="4"/>
  <c r="E51" i="4"/>
  <c r="O50" i="4"/>
  <c r="E50" i="4"/>
  <c r="O49" i="4"/>
  <c r="E49" i="4"/>
  <c r="O48" i="4"/>
  <c r="E48" i="4"/>
  <c r="O47" i="4"/>
  <c r="E47" i="4"/>
  <c r="O46" i="4"/>
  <c r="E46" i="4"/>
  <c r="O45" i="4"/>
  <c r="E45" i="4"/>
  <c r="O44" i="4"/>
  <c r="E44" i="4"/>
  <c r="O43" i="4"/>
  <c r="E43" i="4"/>
  <c r="O42" i="4"/>
  <c r="E42" i="4"/>
  <c r="O41" i="4"/>
  <c r="E41" i="4"/>
  <c r="O40" i="4"/>
  <c r="E40" i="4"/>
  <c r="O39" i="4"/>
  <c r="E39" i="4"/>
  <c r="O38" i="4"/>
  <c r="E38" i="4"/>
  <c r="O37" i="4"/>
  <c r="E37" i="4"/>
  <c r="O36" i="4"/>
  <c r="E36" i="4"/>
  <c r="O35" i="4"/>
  <c r="E35" i="4"/>
  <c r="O34" i="4"/>
  <c r="E34" i="4"/>
  <c r="O33" i="4"/>
  <c r="E33" i="4"/>
  <c r="O32" i="4"/>
  <c r="E32" i="4"/>
  <c r="O31" i="4"/>
  <c r="E31" i="4"/>
  <c r="O30" i="4"/>
  <c r="E30" i="4"/>
  <c r="O29" i="4"/>
  <c r="E29" i="4"/>
  <c r="O28" i="4"/>
  <c r="E28" i="4"/>
  <c r="O27" i="4"/>
  <c r="E27" i="4"/>
  <c r="O26" i="4"/>
  <c r="E26" i="4"/>
  <c r="O25" i="4"/>
  <c r="E25" i="4"/>
  <c r="O24" i="4"/>
  <c r="E24" i="4"/>
  <c r="O23" i="4"/>
  <c r="E23" i="4"/>
  <c r="O22" i="4"/>
  <c r="E22" i="4"/>
  <c r="O21" i="4"/>
  <c r="E21" i="4"/>
  <c r="O20" i="4"/>
  <c r="E20" i="4"/>
  <c r="O19" i="4"/>
  <c r="E19" i="4"/>
  <c r="O18" i="4"/>
  <c r="E18" i="4"/>
  <c r="O17" i="4"/>
  <c r="E17" i="4"/>
  <c r="O16" i="4"/>
  <c r="E16" i="4"/>
  <c r="O15" i="4"/>
  <c r="E15" i="4"/>
  <c r="O14" i="4"/>
  <c r="E14" i="4"/>
  <c r="O13" i="4"/>
  <c r="E13" i="4"/>
  <c r="O12" i="4"/>
  <c r="E12" i="4"/>
  <c r="O11" i="4"/>
  <c r="E11" i="4"/>
  <c r="O10" i="4"/>
  <c r="E10" i="4"/>
  <c r="O9" i="4"/>
  <c r="E9" i="4"/>
  <c r="O8" i="4"/>
  <c r="E8" i="4"/>
  <c r="O7" i="4"/>
  <c r="E7" i="4"/>
  <c r="O6" i="4"/>
  <c r="E6" i="4"/>
  <c r="O5" i="4"/>
  <c r="E5" i="4"/>
  <c r="O4" i="4"/>
  <c r="E4" i="4"/>
  <c r="K11" i="3"/>
  <c r="D11" i="3"/>
  <c r="K10" i="3"/>
  <c r="D10" i="3"/>
  <c r="K9" i="3"/>
  <c r="D9" i="3"/>
  <c r="K8" i="3"/>
  <c r="D8" i="3"/>
  <c r="K7" i="3"/>
  <c r="D7" i="3"/>
  <c r="K6" i="3"/>
  <c r="D6" i="3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B22" i="2"/>
  <c r="B21" i="2"/>
  <c r="B20" i="2"/>
  <c r="B19" i="2"/>
  <c r="B18" i="2"/>
  <c r="B17" i="2"/>
  <c r="B16" i="2"/>
  <c r="B15" i="2"/>
  <c r="B14" i="2"/>
  <c r="B13" i="2"/>
  <c r="B12" i="2"/>
  <c r="B11" i="2"/>
  <c r="G75" i="4" l="1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I75" i="4" l="1"/>
  <c r="K75" i="4" s="1"/>
  <c r="L75" i="4"/>
  <c r="I74" i="4"/>
  <c r="K74" i="4" s="1"/>
  <c r="L74" i="4"/>
  <c r="I73" i="4"/>
  <c r="K73" i="4" s="1"/>
  <c r="L73" i="4"/>
  <c r="I72" i="4"/>
  <c r="K72" i="4" s="1"/>
  <c r="L72" i="4"/>
  <c r="I71" i="4"/>
  <c r="K71" i="4" s="1"/>
  <c r="L71" i="4"/>
  <c r="I70" i="4"/>
  <c r="L70" i="4"/>
  <c r="C22" i="2"/>
  <c r="D22" i="2" s="1"/>
  <c r="I69" i="4"/>
  <c r="K69" i="4" s="1"/>
  <c r="L69" i="4"/>
  <c r="I68" i="4"/>
  <c r="K68" i="4" s="1"/>
  <c r="L68" i="4"/>
  <c r="I67" i="4"/>
  <c r="K67" i="4" s="1"/>
  <c r="L67" i="4"/>
  <c r="I66" i="4"/>
  <c r="K66" i="4" s="1"/>
  <c r="L66" i="4"/>
  <c r="I65" i="4"/>
  <c r="K65" i="4" s="1"/>
  <c r="L65" i="4"/>
  <c r="I64" i="4"/>
  <c r="L64" i="4"/>
  <c r="J6" i="2"/>
  <c r="C21" i="2"/>
  <c r="D21" i="2" s="1"/>
  <c r="I63" i="4"/>
  <c r="K63" i="4" s="1"/>
  <c r="L63" i="4"/>
  <c r="I62" i="4"/>
  <c r="K62" i="4" s="1"/>
  <c r="L62" i="4"/>
  <c r="I61" i="4"/>
  <c r="K61" i="4" s="1"/>
  <c r="L61" i="4"/>
  <c r="I60" i="4"/>
  <c r="K60" i="4" s="1"/>
  <c r="L60" i="4"/>
  <c r="I59" i="4"/>
  <c r="K59" i="4" s="1"/>
  <c r="L59" i="4"/>
  <c r="I58" i="4"/>
  <c r="L58" i="4"/>
  <c r="C20" i="2"/>
  <c r="D20" i="2" s="1"/>
  <c r="I57" i="4"/>
  <c r="K57" i="4" s="1"/>
  <c r="L57" i="4"/>
  <c r="I56" i="4"/>
  <c r="K56" i="4" s="1"/>
  <c r="L56" i="4"/>
  <c r="I55" i="4"/>
  <c r="K55" i="4" s="1"/>
  <c r="L55" i="4"/>
  <c r="I54" i="4"/>
  <c r="K54" i="4" s="1"/>
  <c r="L54" i="4"/>
  <c r="I53" i="4"/>
  <c r="K53" i="4" s="1"/>
  <c r="L53" i="4"/>
  <c r="I52" i="4"/>
  <c r="L52" i="4"/>
  <c r="C19" i="2"/>
  <c r="D19" i="2" s="1"/>
  <c r="I51" i="4"/>
  <c r="K51" i="4" s="1"/>
  <c r="L51" i="4"/>
  <c r="I50" i="4"/>
  <c r="K50" i="4" s="1"/>
  <c r="L50" i="4"/>
  <c r="I49" i="4"/>
  <c r="K49" i="4" s="1"/>
  <c r="L49" i="4"/>
  <c r="I48" i="4"/>
  <c r="K48" i="4" s="1"/>
  <c r="L48" i="4"/>
  <c r="I47" i="4"/>
  <c r="K47" i="4" s="1"/>
  <c r="L47" i="4"/>
  <c r="I46" i="4"/>
  <c r="L46" i="4"/>
  <c r="C18" i="2"/>
  <c r="D18" i="2" s="1"/>
  <c r="I45" i="4"/>
  <c r="K45" i="4" s="1"/>
  <c r="L45" i="4"/>
  <c r="I44" i="4"/>
  <c r="K44" i="4" s="1"/>
  <c r="L44" i="4"/>
  <c r="I43" i="4"/>
  <c r="K43" i="4" s="1"/>
  <c r="L43" i="4"/>
  <c r="I42" i="4"/>
  <c r="K42" i="4" s="1"/>
  <c r="L42" i="4"/>
  <c r="I41" i="4"/>
  <c r="K41" i="4" s="1"/>
  <c r="L41" i="4"/>
  <c r="I40" i="4"/>
  <c r="L40" i="4"/>
  <c r="C17" i="2"/>
  <c r="D17" i="2" s="1"/>
  <c r="A6" i="2"/>
  <c r="I39" i="4"/>
  <c r="K39" i="4" s="1"/>
  <c r="L39" i="4"/>
  <c r="I38" i="4"/>
  <c r="K38" i="4" s="1"/>
  <c r="L38" i="4"/>
  <c r="I37" i="4"/>
  <c r="K37" i="4" s="1"/>
  <c r="L37" i="4"/>
  <c r="I36" i="4"/>
  <c r="K36" i="4" s="1"/>
  <c r="L36" i="4"/>
  <c r="I35" i="4"/>
  <c r="K35" i="4" s="1"/>
  <c r="L35" i="4"/>
  <c r="I34" i="4"/>
  <c r="L34" i="4"/>
  <c r="C16" i="2"/>
  <c r="D16" i="2" s="1"/>
  <c r="I33" i="4"/>
  <c r="K33" i="4" s="1"/>
  <c r="L33" i="4"/>
  <c r="I32" i="4"/>
  <c r="K32" i="4" s="1"/>
  <c r="L32" i="4"/>
  <c r="I31" i="4"/>
  <c r="K31" i="4" s="1"/>
  <c r="L31" i="4"/>
  <c r="I30" i="4"/>
  <c r="K30" i="4" s="1"/>
  <c r="L30" i="4"/>
  <c r="I29" i="4"/>
  <c r="K29" i="4" s="1"/>
  <c r="L29" i="4"/>
  <c r="I28" i="4"/>
  <c r="L28" i="4"/>
  <c r="C15" i="2"/>
  <c r="D15" i="2" s="1"/>
  <c r="I27" i="4"/>
  <c r="K27" i="4" s="1"/>
  <c r="L27" i="4"/>
  <c r="I26" i="4"/>
  <c r="K26" i="4" s="1"/>
  <c r="L26" i="4"/>
  <c r="I25" i="4"/>
  <c r="K25" i="4" s="1"/>
  <c r="L25" i="4"/>
  <c r="I24" i="4"/>
  <c r="K24" i="4" s="1"/>
  <c r="L24" i="4"/>
  <c r="I23" i="4"/>
  <c r="K23" i="4" s="1"/>
  <c r="L23" i="4"/>
  <c r="I22" i="4"/>
  <c r="L22" i="4"/>
  <c r="C14" i="2"/>
  <c r="D14" i="2" s="1"/>
  <c r="I21" i="4"/>
  <c r="K21" i="4" s="1"/>
  <c r="L21" i="4"/>
  <c r="I20" i="4"/>
  <c r="K20" i="4" s="1"/>
  <c r="L20" i="4"/>
  <c r="I19" i="4"/>
  <c r="K19" i="4" s="1"/>
  <c r="L19" i="4"/>
  <c r="I18" i="4"/>
  <c r="K18" i="4" s="1"/>
  <c r="L18" i="4"/>
  <c r="I17" i="4"/>
  <c r="K17" i="4" s="1"/>
  <c r="L17" i="4"/>
  <c r="I16" i="4"/>
  <c r="L16" i="4"/>
  <c r="C13" i="2"/>
  <c r="D13" i="2" s="1"/>
  <c r="I15" i="4"/>
  <c r="K15" i="4" s="1"/>
  <c r="L15" i="4"/>
  <c r="I14" i="4"/>
  <c r="K14" i="4" s="1"/>
  <c r="L14" i="4"/>
  <c r="I13" i="4"/>
  <c r="K13" i="4" s="1"/>
  <c r="L13" i="4"/>
  <c r="I12" i="4"/>
  <c r="K12" i="4" s="1"/>
  <c r="L12" i="4"/>
  <c r="I11" i="4"/>
  <c r="K11" i="4" s="1"/>
  <c r="L11" i="4"/>
  <c r="I10" i="4"/>
  <c r="L10" i="4"/>
  <c r="C12" i="2"/>
  <c r="D12" i="2" s="1"/>
  <c r="I9" i="4"/>
  <c r="K9" i="4" s="1"/>
  <c r="L9" i="4"/>
  <c r="I8" i="4"/>
  <c r="K8" i="4" s="1"/>
  <c r="L8" i="4"/>
  <c r="I7" i="4"/>
  <c r="K7" i="4" s="1"/>
  <c r="L7" i="4"/>
  <c r="I6" i="4"/>
  <c r="K6" i="4" s="1"/>
  <c r="L6" i="4"/>
  <c r="I5" i="4"/>
  <c r="K5" i="4" s="1"/>
  <c r="L5" i="4"/>
  <c r="I4" i="4"/>
  <c r="L4" i="4"/>
  <c r="C11" i="2"/>
  <c r="D11" i="2" s="1"/>
  <c r="H11" i="3"/>
  <c r="L11" i="3" s="1"/>
  <c r="M11" i="3"/>
  <c r="H10" i="3"/>
  <c r="M10" i="3"/>
  <c r="H9" i="3"/>
  <c r="M9" i="3"/>
  <c r="H8" i="3"/>
  <c r="M8" i="3"/>
  <c r="H7" i="3"/>
  <c r="M7" i="3"/>
  <c r="H6" i="3"/>
  <c r="M6" i="3"/>
  <c r="K70" i="4" l="1"/>
  <c r="E22" i="2"/>
  <c r="K64" i="4"/>
  <c r="E21" i="2"/>
  <c r="K58" i="4"/>
  <c r="E20" i="2"/>
  <c r="K52" i="4"/>
  <c r="E19" i="2"/>
  <c r="K46" i="4"/>
  <c r="E18" i="2"/>
  <c r="K40" i="4"/>
  <c r="G6" i="2" s="1"/>
  <c r="D6" i="2"/>
  <c r="E17" i="2"/>
  <c r="K34" i="4"/>
  <c r="E16" i="2"/>
  <c r="K28" i="4"/>
  <c r="E15" i="2"/>
  <c r="K22" i="4"/>
  <c r="E14" i="2"/>
  <c r="K16" i="4"/>
  <c r="E13" i="2"/>
  <c r="K10" i="4"/>
  <c r="E12" i="2"/>
  <c r="K4" i="4"/>
  <c r="E11" i="2"/>
  <c r="E30" i="2"/>
  <c r="I11" i="3"/>
  <c r="J11" i="3"/>
  <c r="L10" i="3"/>
  <c r="E29" i="2" s="1"/>
  <c r="I10" i="3"/>
  <c r="J10" i="3"/>
  <c r="L9" i="3"/>
  <c r="E28" i="2" s="1"/>
  <c r="I9" i="3"/>
  <c r="J9" i="3"/>
  <c r="L8" i="3"/>
  <c r="E27" i="2" s="1"/>
  <c r="I8" i="3"/>
  <c r="J8" i="3"/>
  <c r="L7" i="3"/>
  <c r="E26" i="2" s="1"/>
  <c r="I7" i="3"/>
  <c r="J7" i="3"/>
  <c r="L6" i="3"/>
  <c r="E25" i="2" s="1"/>
  <c r="I6" i="3"/>
  <c r="J6" i="3" s="1"/>
  <c r="N11" i="3" l="1"/>
  <c r="D30" i="2"/>
  <c r="N10" i="3"/>
  <c r="D29" i="2"/>
  <c r="N9" i="3"/>
  <c r="D28" i="2"/>
  <c r="N8" i="3"/>
  <c r="D27" i="2"/>
  <c r="N7" i="3"/>
  <c r="D26" i="2"/>
  <c r="N6" i="3"/>
  <c r="D25" i="2"/>
  <c r="F30" i="2" l="1"/>
  <c r="O11" i="3"/>
  <c r="F29" i="2"/>
  <c r="O10" i="3"/>
  <c r="F28" i="2"/>
  <c r="O9" i="3"/>
  <c r="F27" i="2"/>
  <c r="O8" i="3"/>
  <c r="F26" i="2"/>
  <c r="O7" i="3"/>
  <c r="F25" i="2"/>
  <c r="O6" i="3"/>
</calcChain>
</file>

<file path=xl/sharedStrings.xml><?xml version="1.0" encoding="utf-8"?>
<sst xmlns="http://schemas.openxmlformats.org/spreadsheetml/2006/main" count="371" uniqueCount="141">
  <si>
    <t>Pomona Drinks Inventory Availability Improvement Project</t>
  </si>
  <si>
    <t>Project Manager</t>
  </si>
  <si>
    <t>Agnes Iwaye</t>
  </si>
  <si>
    <t>PROJECT MANAGEMENT APPROACH</t>
  </si>
  <si>
    <t>Client</t>
  </si>
  <si>
    <t>Pomona Drinks (illustrative)</t>
  </si>
  <si>
    <t>1. Diagnose — Reviewed monthly orders, receipts, shipments and peak-period patterns.</t>
  </si>
  <si>
    <t>Operation</t>
  </si>
  <si>
    <t>Inbound receipt, two-pack kitting, warehousing, outbound fulfillment and last-mile delivery</t>
  </si>
  <si>
    <t>2. Define — Established minimum stock, safety stock and reorder points by SKU.</t>
  </si>
  <si>
    <t>Business problem</t>
  </si>
  <si>
    <t>Peak-season demand repeatedly depleted warehouse inventory, interrupting packing and deliveries to retail stores.</t>
  </si>
  <si>
    <t>3. Build — Created a live inventory tracker with red/amber/green conditional alerts.</t>
  </si>
  <si>
    <t>Goal</t>
  </si>
  <si>
    <t>Prevent stockouts while supporting higher festive-period delivery volume.</t>
  </si>
  <si>
    <t>4. Implement — Aligned warehouse and client replenishment decisions to alert thresholds.</t>
  </si>
  <si>
    <t>Solution</t>
  </si>
  <si>
    <t>Built SKU-level monthly benchmarks, reorder points, weeks-of-cover measures and conditional alerts using historical demand patterns.</t>
  </si>
  <si>
    <t>5. Monitor — Tracked fill rate, stockouts, weeks of cover, forecast accuracy and delivery volume.</t>
  </si>
  <si>
    <t>Outcome</t>
  </si>
  <si>
    <t>Illustrative model shows zero stockout events in the post-implementation period and delivery volume approximately doubling during the peak comparison window.</t>
  </si>
  <si>
    <t>6. Improve — Adjusted peak multipliers and benchmarks based on actual consumption.</t>
  </si>
  <si>
    <t>Supply Chain Performance Dashboard</t>
  </si>
  <si>
    <t>Baseline: Jan–Jun 2025 | Improved process: Jul–Dec 2025 | Synthetic portfolio data</t>
  </si>
  <si>
    <t>POST-PROCESS FILL RATE</t>
  </si>
  <si>
    <t>STOCKOUT UNITS</t>
  </si>
  <si>
    <t>ON-TIME DELIVERY RATE</t>
  </si>
  <si>
    <t>PEAK VOLUME GROWTH</t>
  </si>
  <si>
    <t>Month</t>
  </si>
  <si>
    <t>Demand</t>
  </si>
  <si>
    <t>Shipped</t>
  </si>
  <si>
    <t>Fill Rate</t>
  </si>
  <si>
    <t>Stockout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</si>
  <si>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</si>
  <si>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</si>
  <si>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</si>
  <si>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</si>
  <si>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</si>
  <si>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</si>
  <si>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</si>
  <si>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</si>
  <si>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</si>
  <si>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</si>
  <si>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</si>
  <si>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</si>
  <si>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SKU</t>
  </si>
  <si>
    <t>On Hand</t>
  </si>
  <si>
    <t>On Order</t>
  </si>
  <si>
    <t>Reorder Point</t>
  </si>
  <si>
    <t>Weeks Cover</t>
  </si>
  <si>
    <t>Alert</t>
  </si>
  <si>
    <t>Live Inventory &amp; Replenishment Alert Tracker</t>
  </si>
  <si>
    <t>Update blue input cells (On Hand, On Order, Lead Time). Formulas and alerts will recalculate automatically.</t>
  </si>
  <si>
    <t>Current On Hand</t>
  </si>
  <si>
    <t>Avg Monthly Demand</t>
  </si>
  <si>
    <t>Peak Multiplier</t>
  </si>
  <si>
    <t>Peak Forecast</t>
  </si>
  <si>
    <t>Lead Time (days)</t>
  </si>
  <si>
    <t>Daily Demand</t>
  </si>
  <si>
    <t>Safety Stock</t>
  </si>
  <si>
    <t>Inventory Position</t>
  </si>
  <si>
    <t>Weeks of Cover</t>
  </si>
  <si>
    <t>Recommended Order</t>
  </si>
  <si>
    <t>Action</t>
  </si>
  <si>
    <t>Original 12oz</t>
  </si>
  <si>
    <t>Ginger 12oz</t>
  </si>
  <si>
    <t>Mango 12oz</t>
  </si>
  <si>
    <t>Berry 12oz</t>
  </si>
  <si>
    <t>Zero Sugar 12oz</t>
  </si>
  <si>
    <t>Variety Pack</t>
  </si>
  <si>
    <t>Historical Fulfillment Dataset — Synthetic Portfolio Data</t>
  </si>
  <si>
    <t>Opening Units</t>
  </si>
  <si>
    <t>Received Units</t>
  </si>
  <si>
    <t>Available Units</t>
  </si>
  <si>
    <t>Demand Units</t>
  </si>
  <si>
    <t>Shipped Units</t>
  </si>
  <si>
    <t>Closing Units</t>
  </si>
  <si>
    <t>Orders</t>
  </si>
  <si>
    <t>Orders Fulfilled</t>
  </si>
  <si>
    <t>On-Time Deliveries</t>
  </si>
  <si>
    <t>Forecast Units</t>
  </si>
  <si>
    <t>Forecast Accuracy</t>
  </si>
  <si>
    <t>KPI Dictionary &amp; Management Rules</t>
  </si>
  <si>
    <t>KPI</t>
  </si>
  <si>
    <t>Definition</t>
  </si>
  <si>
    <t>Formula</t>
  </si>
  <si>
    <t>Target</t>
  </si>
  <si>
    <t>Frequency</t>
  </si>
  <si>
    <t>Owner</t>
  </si>
  <si>
    <t>Management Use</t>
  </si>
  <si>
    <t>Order Fill Rate</t>
  </si>
  <si>
    <t>Share of requested units shipped</t>
  </si>
  <si>
    <t>Units shipped / Demand units</t>
  </si>
  <si>
    <t>&gt;= 98%</t>
  </si>
  <si>
    <t>Weekly</t>
  </si>
  <si>
    <t>Warehouse PM</t>
  </si>
  <si>
    <t>Shows ability to satisfy customer demand</t>
  </si>
  <si>
    <t>Demand units not shipped</t>
  </si>
  <si>
    <t>MAX(0, Demand - Shipped)</t>
  </si>
  <si>
    <t>0</t>
  </si>
  <si>
    <t>Daily</t>
  </si>
  <si>
    <t>Inventory Lead</t>
  </si>
  <si>
    <t>Triggers replenishment escalation</t>
  </si>
  <si>
    <t>Time inventory can support forecast demand</t>
  </si>
  <si>
    <t>Inventory position / Weekly demand</t>
  </si>
  <si>
    <t>4–8 weeks</t>
  </si>
  <si>
    <t>Balances availability and excess stock</t>
  </si>
  <si>
    <t>Inventory level that triggers replenishment</t>
  </si>
  <si>
    <t>Lead-time demand + Safety stock</t>
  </si>
  <si>
    <t>SKU-specific</t>
  </si>
  <si>
    <t>Planner</t>
  </si>
  <si>
    <t>Prevents depletion before inbound stock arrives</t>
  </si>
  <si>
    <t>Closeness of forecast to actual demand</t>
  </si>
  <si>
    <t>1 - ABS(Forecast - Actual) / Actual</t>
  </si>
  <si>
    <t>&gt;= 90%</t>
  </si>
  <si>
    <t>Monthly</t>
  </si>
  <si>
    <t>Improves peak-season planning</t>
  </si>
  <si>
    <t>On-Time Delivery Rate</t>
  </si>
  <si>
    <t>Fulfilled orders delivered on time</t>
  </si>
  <si>
    <t>On-time deliveries / Orders fulfilled</t>
  </si>
  <si>
    <t>&gt;= 95%</t>
  </si>
  <si>
    <t>Delivery Lead</t>
  </si>
  <si>
    <t>Measures last-mile reliability</t>
  </si>
  <si>
    <t>Inventory Turnover</t>
  </si>
  <si>
    <t>Demand consumed relative to average inventory</t>
  </si>
  <si>
    <t>Annual demand / Average inventory</t>
  </si>
  <si>
    <t>Monitor trend</t>
  </si>
  <si>
    <t>Operations</t>
  </si>
  <si>
    <t>Identifies slow or overstocked inventory</t>
  </si>
  <si>
    <t>Peak Volume Growth</t>
  </si>
  <si>
    <t>Change in peak shipments vs comparison period</t>
  </si>
  <si>
    <t>Peak shipped / Baseline shipped - 1</t>
  </si>
  <si>
    <t>&gt;= 50%</t>
  </si>
  <si>
    <t>Seasonal</t>
  </si>
  <si>
    <t>Demonstrates capacity and sales enablement</t>
  </si>
  <si>
    <t>Alert Response Time</t>
  </si>
  <si>
    <t>Time from red alert to action</t>
  </si>
  <si>
    <t>Action timestamp - Alert timestamp</t>
  </si>
  <si>
    <t>&lt; 24 hours</t>
  </si>
  <si>
    <t>Per alert</t>
  </si>
  <si>
    <t>Measures responsiveness to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</si>
</sst>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0.0%"/>
    <numFmt numFmtId="166" formatCode="#,##0.0"/>
    <numFmt numFmtId="167" formatCode="0.0"/>
  </numFmts>
  <fonts count="7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i/>
      <sz val="12"/>
      <color rgb="FF667085"/>
      <name val="Times New Roman"/>
      <family val="1"/>
    </font>
    <font>
      <b/>
      <sz val="12"/>
      <color rgb="FF17324D"/>
      <name val="Times New Roman"/>
      <family val="1"/>
    </font>
    <font>
      <b/>
      <sz val="24"/>
      <color rgb="FFFFFFFF"/>
      <name val="Times New Roman"/>
      <family val="1"/>
    </font>
    <font>
      <i/>
      <sz val="12"/>
      <color rgb="FF17324D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7F3EA"/>
      </patternFill>
    </fill>
    <fill>
      <patternFill patternType="solid">
        <fgColor rgb="FFEAF2F8"/>
      </patternFill>
    </fill>
    <fill>
      <patternFill patternType="solid">
        <fgColor rgb="FF1F7A78"/>
      </patternFill>
    </fill>
  </fills>
  <borders count="21">
    <border>
      <left/>
      <right/>
      <top/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 style="thin">
        <color rgb="FF1F7A78"/>
      </left>
      <right/>
      <top style="thin">
        <color rgb="FF1F7A78"/>
      </top>
      <bottom/>
      <diagonal/>
    </border>
    <border>
      <left/>
      <right/>
      <top style="thin">
        <color rgb="FF1F7A78"/>
      </top>
      <bottom/>
      <diagonal/>
    </border>
    <border>
      <left/>
      <right style="thin">
        <color rgb="FF1F7A78"/>
      </right>
      <top style="thin">
        <color rgb="FF1F7A78"/>
      </top>
      <bottom/>
      <diagonal/>
    </border>
    <border>
      <left style="thin">
        <color rgb="FF1F7A78"/>
      </left>
      <right/>
      <top/>
      <bottom/>
      <diagonal/>
    </border>
    <border>
      <left/>
      <right style="thin">
        <color rgb="FF1F7A78"/>
      </right>
      <top/>
      <bottom/>
      <diagonal/>
    </border>
    <border>
      <left style="thin">
        <color rgb="FF1F7A78"/>
      </left>
      <right/>
      <top/>
      <bottom style="thin">
        <color rgb="FF1F7A78"/>
      </bottom>
      <diagonal/>
    </border>
    <border>
      <left/>
      <right/>
      <top/>
      <bottom style="thin">
        <color rgb="FF1F7A78"/>
      </bottom>
      <diagonal/>
    </border>
    <border>
      <left/>
      <right style="thin">
        <color rgb="FF1F7A78"/>
      </right>
      <top/>
      <bottom style="thin">
        <color rgb="FF1F7A7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165" fontId="4" fillId="4" borderId="15" xfId="0" applyNumberFormat="1" applyFont="1" applyFill="1" applyBorder="1" applyAlignment="1">
      <alignment horizontal="center" vertical="center"/>
    </xf>
    <xf numFmtId="165" fontId="4" fillId="4" borderId="16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5" fontId="4" fillId="4" borderId="17" xfId="0" applyNumberFormat="1" applyFont="1" applyFill="1" applyBorder="1" applyAlignment="1">
      <alignment horizontal="center" vertical="center"/>
    </xf>
    <xf numFmtId="165" fontId="4" fillId="4" borderId="18" xfId="0" applyNumberFormat="1" applyFont="1" applyFill="1" applyBorder="1" applyAlignment="1">
      <alignment horizontal="center" vertical="center"/>
    </xf>
    <xf numFmtId="165" fontId="4" fillId="4" borderId="19" xfId="0" applyNumberFormat="1" applyFont="1" applyFill="1" applyBorder="1" applyAlignment="1">
      <alignment horizontal="center" vertical="center"/>
    </xf>
    <xf numFmtId="3" fontId="4" fillId="4" borderId="19" xfId="0" applyNumberFormat="1" applyFont="1" applyFill="1" applyBorder="1" applyAlignment="1">
      <alignment horizontal="center" vertical="center"/>
    </xf>
    <xf numFmtId="165" fontId="4" fillId="4" borderId="20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6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4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 vs. Shipped Units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#,##0</c:formatCode>
                <c:ptCount val="12"/>
                <c:pt idx="0">
                  <c:v>4180</c:v>
                </c:pt>
                <c:pt idx="1">
                  <c:v>4215</c:v>
                </c:pt>
                <c:pt idx="2">
                  <c:v>4220</c:v>
                </c:pt>
                <c:pt idx="3">
                  <c:v>4188</c:v>
                </c:pt>
                <c:pt idx="4">
                  <c:v>4169</c:v>
                </c:pt>
                <c:pt idx="5">
                  <c:v>4229</c:v>
                </c:pt>
                <c:pt idx="6">
                  <c:v>5265</c:v>
                </c:pt>
                <c:pt idx="7">
                  <c:v>4169</c:v>
                </c:pt>
                <c:pt idx="8">
                  <c:v>4167</c:v>
                </c:pt>
                <c:pt idx="9">
                  <c:v>4213</c:v>
                </c:pt>
                <c:pt idx="10">
                  <c:v>7366</c:v>
                </c:pt>
                <c:pt idx="11">
                  <c:v>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3-C54A-836E-333D79C2C9A1}"/>
            </c:ext>
          </c:extLst>
        </c:ser>
        <c:ser>
          <c:idx val="1"/>
          <c:order val="1"/>
          <c:tx>
            <c:v>Shipped</c:v>
          </c:tx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#,##0</c:formatCode>
                <c:ptCount val="12"/>
                <c:pt idx="0">
                  <c:v>3761</c:v>
                </c:pt>
                <c:pt idx="1">
                  <c:v>3794</c:v>
                </c:pt>
                <c:pt idx="2">
                  <c:v>3799</c:v>
                </c:pt>
                <c:pt idx="3">
                  <c:v>3768</c:v>
                </c:pt>
                <c:pt idx="4">
                  <c:v>3753</c:v>
                </c:pt>
                <c:pt idx="5">
                  <c:v>3806</c:v>
                </c:pt>
                <c:pt idx="6">
                  <c:v>5265</c:v>
                </c:pt>
                <c:pt idx="7">
                  <c:v>4169</c:v>
                </c:pt>
                <c:pt idx="8">
                  <c:v>4167</c:v>
                </c:pt>
                <c:pt idx="9">
                  <c:v>4213</c:v>
                </c:pt>
                <c:pt idx="10">
                  <c:v>7366</c:v>
                </c:pt>
                <c:pt idx="11">
                  <c:v>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3-C54A-836E-333D79C2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activeCell="B21" sqref="B21"/>
    </sheetView>
  </sheetViews>
  <sheetFormatPr baseColWidth="10" defaultColWidth="8.83203125" defaultRowHeight="16"/>
  <cols>
    <col min="1" max="1" width="24" style="1" customWidth="1"/>
    <col min="2" max="2" width="48" style="1" customWidth="1"/>
    <col min="3" max="8" width="16" style="1" customWidth="1"/>
    <col min="9" max="16384" width="8.83203125" style="1"/>
  </cols>
  <sheetData>
    <row r="1" spans="1:8" ht="34" customHeight="1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 spans="1:8" ht="34" customHeight="1">
      <c r="A2" s="17" t="s">
        <v>0</v>
      </c>
      <c r="B2" s="17" t="s">
        <v>0</v>
      </c>
      <c r="C2" s="17" t="s">
        <v>0</v>
      </c>
      <c r="D2" s="17" t="s">
        <v>0</v>
      </c>
      <c r="E2" s="17" t="s">
        <v>0</v>
      </c>
      <c r="F2" s="17" t="s">
        <v>0</v>
      </c>
      <c r="G2" s="17" t="s">
        <v>0</v>
      </c>
      <c r="H2" s="17" t="s">
        <v>0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 ht="17">
      <c r="A4" s="3" t="s">
        <v>1</v>
      </c>
      <c r="B4" s="4" t="s">
        <v>2</v>
      </c>
      <c r="C4" s="2"/>
      <c r="D4" s="5" t="s">
        <v>3</v>
      </c>
      <c r="E4" s="6" t="s">
        <v>3</v>
      </c>
      <c r="F4" s="6" t="s">
        <v>3</v>
      </c>
      <c r="G4" s="6" t="s">
        <v>3</v>
      </c>
      <c r="H4" s="7" t="s">
        <v>3</v>
      </c>
    </row>
    <row r="5" spans="1:8" ht="17">
      <c r="A5" s="3" t="s">
        <v>4</v>
      </c>
      <c r="B5" s="4" t="s">
        <v>5</v>
      </c>
      <c r="C5" s="2"/>
      <c r="D5" s="8" t="s">
        <v>6</v>
      </c>
      <c r="E5" s="9"/>
      <c r="F5" s="9"/>
      <c r="G5" s="9"/>
      <c r="H5" s="10"/>
    </row>
    <row r="6" spans="1:8" ht="34">
      <c r="A6" s="3" t="s">
        <v>7</v>
      </c>
      <c r="B6" s="4" t="s">
        <v>8</v>
      </c>
      <c r="C6" s="2"/>
      <c r="D6" s="11" t="s">
        <v>9</v>
      </c>
      <c r="E6" s="12"/>
      <c r="F6" s="12"/>
      <c r="G6" s="12"/>
      <c r="H6" s="13"/>
    </row>
    <row r="7" spans="1:8" ht="51">
      <c r="A7" s="3" t="s">
        <v>10</v>
      </c>
      <c r="B7" s="4" t="s">
        <v>11</v>
      </c>
      <c r="C7" s="2"/>
      <c r="D7" s="11" t="s">
        <v>12</v>
      </c>
      <c r="E7" s="12"/>
      <c r="F7" s="12"/>
      <c r="G7" s="12"/>
      <c r="H7" s="13"/>
    </row>
    <row r="8" spans="1:8" ht="34">
      <c r="A8" s="3" t="s">
        <v>13</v>
      </c>
      <c r="B8" s="4" t="s">
        <v>14</v>
      </c>
      <c r="C8" s="2"/>
      <c r="D8" s="11" t="s">
        <v>15</v>
      </c>
      <c r="E8" s="12"/>
      <c r="F8" s="12"/>
      <c r="G8" s="12"/>
      <c r="H8" s="13"/>
    </row>
    <row r="9" spans="1:8" ht="51">
      <c r="A9" s="3" t="s">
        <v>16</v>
      </c>
      <c r="B9" s="4" t="s">
        <v>17</v>
      </c>
      <c r="C9" s="2"/>
      <c r="D9" s="11" t="s">
        <v>18</v>
      </c>
      <c r="E9" s="12"/>
      <c r="F9" s="12"/>
      <c r="G9" s="12"/>
      <c r="H9" s="13"/>
    </row>
    <row r="10" spans="1:8" ht="51">
      <c r="A10" s="3" t="s">
        <v>19</v>
      </c>
      <c r="B10" s="4" t="s">
        <v>20</v>
      </c>
      <c r="C10" s="2"/>
      <c r="D10" s="14" t="s">
        <v>21</v>
      </c>
      <c r="E10" s="15"/>
      <c r="F10" s="15"/>
      <c r="G10" s="15"/>
      <c r="H10" s="16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</sheetData>
  <mergeCells count="8">
    <mergeCell ref="D7:H7"/>
    <mergeCell ref="D8:H8"/>
    <mergeCell ref="D9:H9"/>
    <mergeCell ref="D10:H10"/>
    <mergeCell ref="A1:H2"/>
    <mergeCell ref="D4:H4"/>
    <mergeCell ref="D5:H5"/>
    <mergeCell ref="D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workbookViewId="0">
      <selection activeCell="H28" sqref="H28"/>
    </sheetView>
  </sheetViews>
  <sheetFormatPr baseColWidth="10" defaultColWidth="8.83203125" defaultRowHeight="16"/>
  <cols>
    <col min="1" max="1" width="18" style="1" customWidth="1"/>
    <col min="2" max="5" width="14" style="1" customWidth="1"/>
    <col min="6" max="6" width="22" style="1" customWidth="1"/>
    <col min="7" max="12" width="13" style="1" customWidth="1"/>
    <col min="13" max="16384" width="8.83203125" style="1"/>
  </cols>
  <sheetData>
    <row r="1" spans="1:12" ht="34" customHeight="1">
      <c r="A1" s="17" t="s">
        <v>22</v>
      </c>
      <c r="B1" s="17" t="s">
        <v>22</v>
      </c>
      <c r="C1" s="17" t="s">
        <v>22</v>
      </c>
      <c r="D1" s="17" t="s">
        <v>22</v>
      </c>
      <c r="E1" s="17" t="s">
        <v>22</v>
      </c>
      <c r="F1" s="17" t="s">
        <v>22</v>
      </c>
      <c r="G1" s="17" t="s">
        <v>22</v>
      </c>
      <c r="H1" s="17" t="s">
        <v>22</v>
      </c>
      <c r="I1" s="17" t="s">
        <v>22</v>
      </c>
      <c r="J1" s="17" t="s">
        <v>22</v>
      </c>
      <c r="K1" s="17" t="s">
        <v>22</v>
      </c>
      <c r="L1" s="17" t="s">
        <v>22</v>
      </c>
    </row>
    <row r="2" spans="1:12" ht="34" customHeight="1">
      <c r="A2" s="17" t="s">
        <v>22</v>
      </c>
      <c r="B2" s="17" t="s">
        <v>22</v>
      </c>
      <c r="C2" s="17" t="s">
        <v>22</v>
      </c>
      <c r="D2" s="17" t="s">
        <v>22</v>
      </c>
      <c r="E2" s="17" t="s">
        <v>22</v>
      </c>
      <c r="F2" s="17" t="s">
        <v>22</v>
      </c>
      <c r="G2" s="17" t="s">
        <v>22</v>
      </c>
      <c r="H2" s="17" t="s">
        <v>22</v>
      </c>
      <c r="I2" s="17" t="s">
        <v>22</v>
      </c>
      <c r="J2" s="17" t="s">
        <v>22</v>
      </c>
      <c r="K2" s="17" t="s">
        <v>22</v>
      </c>
      <c r="L2" s="17" t="s">
        <v>22</v>
      </c>
    </row>
    <row r="3" spans="1:12">
      <c r="A3" s="18" t="s">
        <v>23</v>
      </c>
      <c r="B3" s="18" t="s">
        <v>23</v>
      </c>
      <c r="C3" s="18" t="s">
        <v>23</v>
      </c>
      <c r="D3" s="18" t="s">
        <v>23</v>
      </c>
      <c r="E3" s="18" t="s">
        <v>23</v>
      </c>
      <c r="F3" s="18" t="s">
        <v>23</v>
      </c>
      <c r="G3" s="18" t="s">
        <v>23</v>
      </c>
      <c r="H3" s="18" t="s">
        <v>23</v>
      </c>
      <c r="I3" s="18" t="s">
        <v>23</v>
      </c>
      <c r="J3" s="18" t="s">
        <v>23</v>
      </c>
      <c r="K3" s="18" t="s">
        <v>23</v>
      </c>
      <c r="L3" s="18" t="s">
        <v>23</v>
      </c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5" t="s">
        <v>24</v>
      </c>
      <c r="B5" s="6"/>
      <c r="C5" s="6"/>
      <c r="D5" s="6" t="s">
        <v>25</v>
      </c>
      <c r="E5" s="6"/>
      <c r="F5" s="6"/>
      <c r="G5" s="6" t="s">
        <v>26</v>
      </c>
      <c r="H5" s="6"/>
      <c r="I5" s="6"/>
      <c r="J5" s="6" t="s">
        <v>27</v>
      </c>
      <c r="K5" s="6"/>
      <c r="L5" s="7"/>
    </row>
    <row r="6" spans="1:12">
      <c r="A6" s="19">
        <f>SUMIFS('Historical Data'!$G$4:$G$75,'Historical Data'!$A$4:$A$75,"&gt;="&amp;DATE(2025,7,1))/SUMIFS('Historical Data'!$F$4:$F$75,'Historical Data'!$A$4:$A$75,"&gt;="&amp;DATE(2025,7,1))</f>
        <v>1</v>
      </c>
      <c r="B6" s="20"/>
      <c r="C6" s="20"/>
      <c r="D6" s="21">
        <f>SUMIFS('Historical Data'!$I$4:$I$75,'Historical Data'!$A$4:$A$75,"&gt;="&amp;DATE(2025,7,1))</f>
        <v>0</v>
      </c>
      <c r="E6" s="21"/>
      <c r="F6" s="21"/>
      <c r="G6" s="20">
        <f>SUMIFS('Historical Data'!$M$4:$M$75,'Historical Data'!$A$4:$A$75,"&gt;="&amp;DATE(2025,7,1))/SUMIFS('Historical Data'!$K$4:$K$75,'Historical Data'!$A$4:$A$75,"&gt;="&amp;DATE(2025,7,1))</f>
        <v>0.97977941176470584</v>
      </c>
      <c r="H6" s="20"/>
      <c r="I6" s="20"/>
      <c r="J6" s="20">
        <f>SUMIFS('Historical Data'!$G$4:$G$75,'Historical Data'!$A$4:$A$75,"&gt;="&amp;DATE(2025,11,1))/SUMIFS('Historical Data'!$G$4:$G$75,'Historical Data'!$A$4:$A$75,"&gt;="&amp;DATE(2025,5,1),'Historical Data'!$A$4:$A$75,"&lt;"&amp;DATE(2025,7,1))-1</f>
        <v>0.95925386955946546</v>
      </c>
      <c r="K6" s="20"/>
      <c r="L6" s="22"/>
    </row>
    <row r="7" spans="1:12">
      <c r="A7" s="23"/>
      <c r="B7" s="24"/>
      <c r="C7" s="24"/>
      <c r="D7" s="25"/>
      <c r="E7" s="25"/>
      <c r="F7" s="25"/>
      <c r="G7" s="24"/>
      <c r="H7" s="24"/>
      <c r="I7" s="24"/>
      <c r="J7" s="24"/>
      <c r="K7" s="24"/>
      <c r="L7" s="26"/>
    </row>
    <row r="8" spans="1:12">
      <c r="A8" s="27"/>
      <c r="B8" s="28"/>
      <c r="C8" s="28"/>
      <c r="D8" s="29"/>
      <c r="E8" s="29"/>
      <c r="F8" s="29"/>
      <c r="G8" s="28"/>
      <c r="H8" s="28"/>
      <c r="I8" s="28"/>
      <c r="J8" s="28"/>
      <c r="K8" s="28"/>
      <c r="L8" s="30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7">
      <c r="A10" s="31" t="s">
        <v>28</v>
      </c>
      <c r="B10" s="32" t="s">
        <v>29</v>
      </c>
      <c r="C10" s="32" t="s">
        <v>30</v>
      </c>
      <c r="D10" s="32" t="s">
        <v>31</v>
      </c>
      <c r="E10" s="33" t="s">
        <v>32</v>
      </c>
      <c r="F10" s="2"/>
      <c r="G10" s="2"/>
      <c r="H10" s="2"/>
      <c r="I10" s="2"/>
      <c r="J10" s="2"/>
      <c r="K10" s="2"/>
      <c r="L10" s="2"/>
    </row>
    <row r="11" spans="1:12">
      <c r="A11" s="2" t="s">
        <v>33</v>
      </c>
      <c r="B11" s="34">
        <f>SUMIFS('Historical Data'!$F$4:$F$75,'Historical Data'!$A$4:$A$75,DATE(2025,1,1))</f>
        <v>4180</v>
      </c>
      <c r="C11" s="34">
        <f>SUMIFS('Historical Data'!$G$4:$G$75,'Historical Data'!$A$4:$A$75,DATE(2025,1,1))</f>
        <v>3761</v>
      </c>
      <c r="D11" s="35">
        <f t="shared" ref="D11:D22" si="0">IFERROR(C11/B11,0)</f>
        <v>0.89976076555023921</v>
      </c>
      <c r="E11" s="34">
        <f>SUMIFS('Historical Data'!$I$4:$I$75,'Historical Data'!$A$4:$A$75,DATE(2025,1,1))</f>
        <v>419</v>
      </c>
      <c r="F11" s="2"/>
      <c r="G11" s="2"/>
      <c r="H11" s="2"/>
      <c r="I11" s="2"/>
      <c r="J11" s="2"/>
      <c r="K11" s="2"/>
      <c r="L11" s="2"/>
    </row>
    <row r="12" spans="1:12">
      <c r="A12" s="2" t="s">
        <v>34</v>
      </c>
      <c r="B12" s="34">
        <f>SUMIFS('Historical Data'!$F$4:$F$75,'Historical Data'!$A$4:$A$75,DATE(2025,2,1))</f>
        <v>4215</v>
      </c>
      <c r="C12" s="34">
        <f>SUMIFS('Historical Data'!$G$4:$G$75,'Historical Data'!$A$4:$A$75,DATE(2025,2,1))</f>
        <v>3794</v>
      </c>
      <c r="D12" s="35">
        <f t="shared" si="0"/>
        <v>0.90011862396204034</v>
      </c>
      <c r="E12" s="34">
        <f>SUMIFS('Historical Data'!$I$4:$I$75,'Historical Data'!$A$4:$A$75,DATE(2025,2,1))</f>
        <v>421</v>
      </c>
      <c r="F12" s="2"/>
      <c r="G12" s="2"/>
      <c r="H12" s="2"/>
      <c r="I12" s="2"/>
      <c r="J12" s="2"/>
      <c r="K12" s="2"/>
      <c r="L12" s="2"/>
    </row>
    <row r="13" spans="1:12">
      <c r="A13" s="2" t="s">
        <v>35</v>
      </c>
      <c r="B13" s="34">
        <f>SUMIFS('Historical Data'!$F$4:$F$75,'Historical Data'!$A$4:$A$75,DATE(2025,3,1))</f>
        <v>4220</v>
      </c>
      <c r="C13" s="34">
        <f>SUMIFS('Historical Data'!$G$4:$G$75,'Historical Data'!$A$4:$A$75,DATE(2025,3,1))</f>
        <v>3799</v>
      </c>
      <c r="D13" s="35">
        <f t="shared" si="0"/>
        <v>0.9002369668246446</v>
      </c>
      <c r="E13" s="34">
        <f>SUMIFS('Historical Data'!$I$4:$I$75,'Historical Data'!$A$4:$A$75,DATE(2025,3,1))</f>
        <v>421</v>
      </c>
      <c r="F13" s="2"/>
      <c r="G13" s="2"/>
      <c r="H13" s="2"/>
      <c r="I13" s="2"/>
      <c r="J13" s="2"/>
      <c r="K13" s="2"/>
      <c r="L13" s="2"/>
    </row>
    <row r="14" spans="1:12">
      <c r="A14" s="2" t="s">
        <v>36</v>
      </c>
      <c r="B14" s="34">
        <f>SUMIFS('Historical Data'!$F$4:$F$75,'Historical Data'!$A$4:$A$75,DATE(2025,4,1))</f>
        <v>4188</v>
      </c>
      <c r="C14" s="34">
        <f>SUMIFS('Historical Data'!$G$4:$G$75,'Historical Data'!$A$4:$A$75,DATE(2025,4,1))</f>
        <v>3768</v>
      </c>
      <c r="D14" s="35">
        <f t="shared" si="0"/>
        <v>0.89971346704871058</v>
      </c>
      <c r="E14" s="34">
        <f>SUMIFS('Historical Data'!$I$4:$I$75,'Historical Data'!$A$4:$A$75,DATE(2025,4,1))</f>
        <v>420</v>
      </c>
      <c r="F14" s="2"/>
      <c r="G14" s="2"/>
      <c r="H14" s="2"/>
      <c r="I14" s="2"/>
      <c r="J14" s="2"/>
      <c r="K14" s="2"/>
      <c r="L14" s="2"/>
    </row>
    <row r="15" spans="1:12">
      <c r="A15" s="2" t="s">
        <v>37</v>
      </c>
      <c r="B15" s="34">
        <f>SUMIFS('Historical Data'!$F$4:$F$75,'Historical Data'!$A$4:$A$75,DATE(2025,5,1))</f>
        <v>4169</v>
      </c>
      <c r="C15" s="34">
        <f>SUMIFS('Historical Data'!$G$4:$G$75,'Historical Data'!$A$4:$A$75,DATE(2025,5,1))</f>
        <v>3753</v>
      </c>
      <c r="D15" s="35">
        <f t="shared" si="0"/>
        <v>0.90021587910769973</v>
      </c>
      <c r="E15" s="34">
        <f>SUMIFS('Historical Data'!$I$4:$I$75,'Historical Data'!$A$4:$A$75,DATE(2025,5,1))</f>
        <v>416</v>
      </c>
      <c r="F15" s="2"/>
      <c r="G15" s="2"/>
      <c r="H15" s="2"/>
      <c r="I15" s="2"/>
      <c r="J15" s="2"/>
      <c r="K15" s="2"/>
      <c r="L15" s="2"/>
    </row>
    <row r="16" spans="1:12">
      <c r="A16" s="2" t="s">
        <v>38</v>
      </c>
      <c r="B16" s="34">
        <f>SUMIFS('Historical Data'!$F$4:$F$75,'Historical Data'!$A$4:$A$75,DATE(2025,6,1))</f>
        <v>4229</v>
      </c>
      <c r="C16" s="34">
        <f>SUMIFS('Historical Data'!$G$4:$G$75,'Historical Data'!$A$4:$A$75,DATE(2025,6,1))</f>
        <v>3806</v>
      </c>
      <c r="D16" s="35">
        <f t="shared" si="0"/>
        <v>0.89997635374793095</v>
      </c>
      <c r="E16" s="34">
        <f>SUMIFS('Historical Data'!$I$4:$I$75,'Historical Data'!$A$4:$A$75,DATE(2025,6,1))</f>
        <v>423</v>
      </c>
      <c r="F16" s="2"/>
      <c r="G16" s="2"/>
      <c r="H16" s="2"/>
      <c r="I16" s="2"/>
      <c r="J16" s="2"/>
      <c r="K16" s="2"/>
      <c r="L16" s="2"/>
    </row>
    <row r="17" spans="1:12">
      <c r="A17" s="2" t="s">
        <v>39</v>
      </c>
      <c r="B17" s="34">
        <f>SUMIFS('Historical Data'!$F$4:$F$75,'Historical Data'!$A$4:$A$75,DATE(2025,7,1))</f>
        <v>5265</v>
      </c>
      <c r="C17" s="34">
        <f>SUMIFS('Historical Data'!$G$4:$G$75,'Historical Data'!$A$4:$A$75,DATE(2025,7,1))</f>
        <v>5265</v>
      </c>
      <c r="D17" s="35">
        <f t="shared" si="0"/>
        <v>1</v>
      </c>
      <c r="E17" s="34">
        <f>SUMIFS('Historical Data'!$I$4:$I$75,'Historical Data'!$A$4:$A$75,DATE(2025,7,1))</f>
        <v>0</v>
      </c>
      <c r="F17" s="2"/>
      <c r="G17" s="2"/>
      <c r="H17" s="2"/>
      <c r="I17" s="2"/>
      <c r="J17" s="2"/>
      <c r="K17" s="2"/>
      <c r="L17" s="2"/>
    </row>
    <row r="18" spans="1:12">
      <c r="A18" s="2" t="s">
        <v>40</v>
      </c>
      <c r="B18" s="34">
        <f>SUMIFS('Historical Data'!$F$4:$F$75,'Historical Data'!$A$4:$A$75,DATE(2025,8,1))</f>
        <v>4169</v>
      </c>
      <c r="C18" s="34">
        <f>SUMIFS('Historical Data'!$G$4:$G$75,'Historical Data'!$A$4:$A$75,DATE(2025,8,1))</f>
        <v>4169</v>
      </c>
      <c r="D18" s="35">
        <f t="shared" si="0"/>
        <v>1</v>
      </c>
      <c r="E18" s="34">
        <f>SUMIFS('Historical Data'!$I$4:$I$75,'Historical Data'!$A$4:$A$75,DATE(2025,8,1))</f>
        <v>0</v>
      </c>
      <c r="F18" s="2"/>
      <c r="G18" s="2"/>
      <c r="H18" s="2"/>
      <c r="I18" s="2"/>
      <c r="J18" s="2"/>
      <c r="K18" s="2"/>
      <c r="L18" s="2"/>
    </row>
    <row r="19" spans="1:12">
      <c r="A19" s="2" t="s">
        <v>41</v>
      </c>
      <c r="B19" s="34">
        <f>SUMIFS('Historical Data'!$F$4:$F$75,'Historical Data'!$A$4:$A$75,DATE(2025,9,1))</f>
        <v>4167</v>
      </c>
      <c r="C19" s="34">
        <f>SUMIFS('Historical Data'!$G$4:$G$75,'Historical Data'!$A$4:$A$75,DATE(2025,9,1))</f>
        <v>4167</v>
      </c>
      <c r="D19" s="35">
        <f t="shared" si="0"/>
        <v>1</v>
      </c>
      <c r="E19" s="34">
        <f>SUMIFS('Historical Data'!$I$4:$I$75,'Historical Data'!$A$4:$A$75,DATE(2025,9,1))</f>
        <v>0</v>
      </c>
      <c r="F19" s="2"/>
      <c r="G19" s="2"/>
      <c r="H19" s="2"/>
      <c r="I19" s="2"/>
      <c r="J19" s="2"/>
      <c r="K19" s="2"/>
      <c r="L19" s="2"/>
    </row>
    <row r="20" spans="1:12">
      <c r="A20" s="2" t="s">
        <v>42</v>
      </c>
      <c r="B20" s="34">
        <f>SUMIFS('Historical Data'!$F$4:$F$75,'Historical Data'!$A$4:$A$75,DATE(2025,10,1))</f>
        <v>4213</v>
      </c>
      <c r="C20" s="34">
        <f>SUMIFS('Historical Data'!$G$4:$G$75,'Historical Data'!$A$4:$A$75,DATE(2025,10,1))</f>
        <v>4213</v>
      </c>
      <c r="D20" s="35">
        <f t="shared" si="0"/>
        <v>1</v>
      </c>
      <c r="E20" s="34">
        <f>SUMIFS('Historical Data'!$I$4:$I$75,'Historical Data'!$A$4:$A$75,DATE(2025,10,1))</f>
        <v>0</v>
      </c>
      <c r="F20" s="2"/>
      <c r="G20" s="2"/>
      <c r="H20" s="2"/>
      <c r="I20" s="2"/>
      <c r="J20" s="2"/>
      <c r="K20" s="2"/>
      <c r="L20" s="2"/>
    </row>
    <row r="21" spans="1:12">
      <c r="A21" s="2" t="s">
        <v>43</v>
      </c>
      <c r="B21" s="34">
        <f>SUMIFS('Historical Data'!$F$4:$F$75,'Historical Data'!$A$4:$A$75,DATE(2025,11,1))</f>
        <v>7366</v>
      </c>
      <c r="C21" s="34">
        <f>SUMIFS('Historical Data'!$G$4:$G$75,'Historical Data'!$A$4:$A$75,DATE(2025,11,1))</f>
        <v>7366</v>
      </c>
      <c r="D21" s="35">
        <f t="shared" si="0"/>
        <v>1</v>
      </c>
      <c r="E21" s="34">
        <f>SUMIFS('Historical Data'!$I$4:$I$75,'Historical Data'!$A$4:$A$75,DATE(2025,11,1))</f>
        <v>0</v>
      </c>
      <c r="F21" s="2"/>
      <c r="G21" s="2"/>
      <c r="H21" s="2"/>
      <c r="I21" s="2"/>
      <c r="J21" s="2"/>
      <c r="K21" s="2"/>
      <c r="L21" s="2"/>
    </row>
    <row r="22" spans="1:12">
      <c r="A22" s="2" t="s">
        <v>44</v>
      </c>
      <c r="B22" s="34">
        <f>SUMIFS('Historical Data'!$F$4:$F$75,'Historical Data'!$A$4:$A$75,DATE(2025,12,1))</f>
        <v>7444</v>
      </c>
      <c r="C22" s="34">
        <f>SUMIFS('Historical Data'!$G$4:$G$75,'Historical Data'!$A$4:$A$75,DATE(2025,12,1))</f>
        <v>7444</v>
      </c>
      <c r="D22" s="35">
        <f t="shared" si="0"/>
        <v>1</v>
      </c>
      <c r="E22" s="34">
        <f>SUMIFS('Historical Data'!$I$4:$I$75,'Historical Data'!$A$4:$A$75,DATE(2025,12,1))</f>
        <v>0</v>
      </c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7">
      <c r="A24" s="31" t="s">
        <v>45</v>
      </c>
      <c r="B24" s="32" t="s">
        <v>46</v>
      </c>
      <c r="C24" s="32" t="s">
        <v>47</v>
      </c>
      <c r="D24" s="32" t="s">
        <v>48</v>
      </c>
      <c r="E24" s="32" t="s">
        <v>49</v>
      </c>
      <c r="F24" s="33" t="s">
        <v>50</v>
      </c>
      <c r="G24" s="2"/>
      <c r="H24" s="2"/>
      <c r="I24" s="2"/>
      <c r="J24" s="2"/>
      <c r="K24" s="2"/>
      <c r="L24" s="2"/>
    </row>
    <row r="25" spans="1:12">
      <c r="A25" s="2" t="str">
        <f>'Inventory Tracker'!A6</f>
        <v>Original 12oz</v>
      </c>
      <c r="B25" s="34">
        <f>'Inventory Tracker'!B6</f>
        <v>1180</v>
      </c>
      <c r="C25" s="34">
        <f>'Inventory Tracker'!C6</f>
        <v>900</v>
      </c>
      <c r="D25" s="34">
        <f>'Inventory Tracker'!J6</f>
        <v>914.88333333333344</v>
      </c>
      <c r="E25" s="36">
        <f>'Inventory Tracker'!L6</f>
        <v>5.5213909658009994</v>
      </c>
      <c r="F25" s="2" t="str">
        <f>'Inventory Tracker'!N6</f>
        <v>GREEN - Sufficient</v>
      </c>
      <c r="G25" s="2"/>
      <c r="H25" s="2"/>
      <c r="I25" s="2"/>
      <c r="J25" s="2"/>
      <c r="K25" s="2"/>
      <c r="L25" s="2"/>
    </row>
    <row r="26" spans="1:12">
      <c r="A26" s="2" t="str">
        <f>'Inventory Tracker'!A7</f>
        <v>Ginger 12oz</v>
      </c>
      <c r="B26" s="34">
        <f>'Inventory Tracker'!B7</f>
        <v>710</v>
      </c>
      <c r="C26" s="34">
        <f>'Inventory Tracker'!C7</f>
        <v>600</v>
      </c>
      <c r="D26" s="34">
        <f>'Inventory Tracker'!J7</f>
        <v>801.80000000000007</v>
      </c>
      <c r="E26" s="36">
        <f>'Inventory Tracker'!L7</f>
        <v>4.4346648612051451</v>
      </c>
      <c r="F26" s="2" t="str">
        <f>'Inventory Tracker'!N7</f>
        <v>GREEN - Sufficient</v>
      </c>
      <c r="G26" s="2"/>
      <c r="H26" s="2"/>
      <c r="I26" s="2"/>
      <c r="J26" s="2"/>
      <c r="K26" s="2"/>
      <c r="L26" s="2"/>
    </row>
    <row r="27" spans="1:12">
      <c r="A27" s="2" t="str">
        <f>'Inventory Tracker'!A8</f>
        <v>Mango 12oz</v>
      </c>
      <c r="B27" s="34">
        <f>'Inventory Tracker'!B8</f>
        <v>520</v>
      </c>
      <c r="C27" s="34">
        <f>'Inventory Tracker'!C8</f>
        <v>800</v>
      </c>
      <c r="D27" s="34">
        <f>'Inventory Tracker'!J8</f>
        <v>796.24999999999989</v>
      </c>
      <c r="E27" s="36">
        <f>'Inventory Tracker'!L8</f>
        <v>4.9733124018838311</v>
      </c>
      <c r="F27" s="2" t="str">
        <f>'Inventory Tracker'!N8</f>
        <v>GREEN - Sufficient</v>
      </c>
      <c r="G27" s="2"/>
      <c r="H27" s="2"/>
      <c r="I27" s="2"/>
      <c r="J27" s="2"/>
      <c r="K27" s="2"/>
      <c r="L27" s="2"/>
    </row>
    <row r="28" spans="1:12">
      <c r="A28" s="2" t="str">
        <f>'Inventory Tracker'!A9</f>
        <v>Berry 12oz</v>
      </c>
      <c r="B28" s="34">
        <f>'Inventory Tracker'!B9</f>
        <v>980</v>
      </c>
      <c r="C28" s="34">
        <f>'Inventory Tracker'!C9</f>
        <v>0</v>
      </c>
      <c r="D28" s="34">
        <f>'Inventory Tracker'!J9</f>
        <v>612.84999999999991</v>
      </c>
      <c r="E28" s="36">
        <f>'Inventory Tracker'!L9</f>
        <v>3.8834951456310685</v>
      </c>
      <c r="F28" s="2" t="str">
        <f>'Inventory Tracker'!N9</f>
        <v>AMBER - Monitor</v>
      </c>
      <c r="G28" s="2"/>
      <c r="H28" s="2"/>
      <c r="I28" s="2"/>
      <c r="J28" s="2"/>
      <c r="K28" s="2"/>
      <c r="L28" s="2"/>
    </row>
    <row r="29" spans="1:12">
      <c r="A29" s="2" t="str">
        <f>'Inventory Tracker'!A10</f>
        <v>Zero Sugar 12oz</v>
      </c>
      <c r="B29" s="34">
        <f>'Inventory Tracker'!B10</f>
        <v>430</v>
      </c>
      <c r="C29" s="34">
        <f>'Inventory Tracker'!C10</f>
        <v>650</v>
      </c>
      <c r="D29" s="34">
        <f>'Inventory Tracker'!J10</f>
        <v>699.9666666666667</v>
      </c>
      <c r="E29" s="36">
        <f>'Inventory Tracker'!L10</f>
        <v>4.8492105066227635</v>
      </c>
      <c r="F29" s="2" t="str">
        <f>'Inventory Tracker'!N10</f>
        <v>GREEN - Sufficient</v>
      </c>
      <c r="G29" s="2"/>
      <c r="H29" s="2"/>
      <c r="I29" s="2"/>
      <c r="J29" s="2"/>
      <c r="K29" s="2"/>
      <c r="L29" s="2"/>
    </row>
    <row r="30" spans="1:12">
      <c r="A30" s="2" t="str">
        <f>'Inventory Tracker'!A11</f>
        <v>Variety Pack</v>
      </c>
      <c r="B30" s="34">
        <f>'Inventory Tracker'!B11</f>
        <v>650</v>
      </c>
      <c r="C30" s="34">
        <f>'Inventory Tracker'!C11</f>
        <v>900</v>
      </c>
      <c r="D30" s="34">
        <f>'Inventory Tracker'!J11</f>
        <v>855.63333333333333</v>
      </c>
      <c r="E30" s="36">
        <f>'Inventory Tracker'!L11</f>
        <v>4.9169927038172787</v>
      </c>
      <c r="F30" s="2" t="str">
        <f>'Inventory Tracker'!N11</f>
        <v>GREEN - Sufficient</v>
      </c>
      <c r="G30" s="2"/>
      <c r="H30" s="2"/>
      <c r="I30" s="2"/>
      <c r="J30" s="2"/>
      <c r="K30" s="2"/>
      <c r="L30" s="2"/>
    </row>
  </sheetData>
  <mergeCells count="10">
    <mergeCell ref="A6:C8"/>
    <mergeCell ref="D6:F8"/>
    <mergeCell ref="G6:I8"/>
    <mergeCell ref="J6:L8"/>
    <mergeCell ref="A1:L2"/>
    <mergeCell ref="A3:L3"/>
    <mergeCell ref="A5:C5"/>
    <mergeCell ref="D5:F5"/>
    <mergeCell ref="G5:I5"/>
    <mergeCell ref="J5:L5"/>
  </mergeCells>
  <conditionalFormatting sqref="F25:F30">
    <cfRule type="containsText" dxfId="5" priority="1" operator="containsText" text="RED"/>
    <cfRule type="containsText" dxfId="4" priority="2" operator="containsText" text="AMBER"/>
    <cfRule type="containsText" dxfId="3" priority="3" operator="containsText" text="GREEN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showGridLines="0" workbookViewId="0">
      <selection activeCell="L18" sqref="L18"/>
    </sheetView>
  </sheetViews>
  <sheetFormatPr baseColWidth="10" defaultColWidth="8.83203125" defaultRowHeight="16"/>
  <cols>
    <col min="1" max="1" width="20" style="1" customWidth="1"/>
    <col min="2" max="13" width="14" style="1" customWidth="1"/>
    <col min="14" max="14" width="22" style="1" customWidth="1"/>
    <col min="15" max="15" width="21" style="1" customWidth="1"/>
    <col min="16" max="16384" width="8.83203125" style="1"/>
  </cols>
  <sheetData>
    <row r="1" spans="1:15" ht="34" customHeight="1">
      <c r="A1" s="17" t="s">
        <v>51</v>
      </c>
      <c r="B1" s="17" t="s">
        <v>51</v>
      </c>
      <c r="C1" s="17" t="s">
        <v>51</v>
      </c>
      <c r="D1" s="17" t="s">
        <v>51</v>
      </c>
      <c r="E1" s="17" t="s">
        <v>51</v>
      </c>
      <c r="F1" s="17" t="s">
        <v>51</v>
      </c>
      <c r="G1" s="17" t="s">
        <v>51</v>
      </c>
      <c r="H1" s="17" t="s">
        <v>51</v>
      </c>
      <c r="I1" s="17" t="s">
        <v>51</v>
      </c>
      <c r="J1" s="17" t="s">
        <v>51</v>
      </c>
      <c r="K1" s="17" t="s">
        <v>51</v>
      </c>
      <c r="L1" s="17" t="s">
        <v>51</v>
      </c>
      <c r="M1" s="17" t="s">
        <v>51</v>
      </c>
      <c r="N1" s="17" t="s">
        <v>51</v>
      </c>
      <c r="O1" s="17" t="s">
        <v>51</v>
      </c>
    </row>
    <row r="2" spans="1:15" ht="34" customHeight="1">
      <c r="A2" s="17" t="s">
        <v>51</v>
      </c>
      <c r="B2" s="17" t="s">
        <v>51</v>
      </c>
      <c r="C2" s="17" t="s">
        <v>51</v>
      </c>
      <c r="D2" s="17" t="s">
        <v>51</v>
      </c>
      <c r="E2" s="17" t="s">
        <v>51</v>
      </c>
      <c r="F2" s="17" t="s">
        <v>51</v>
      </c>
      <c r="G2" s="17" t="s">
        <v>51</v>
      </c>
      <c r="H2" s="17" t="s">
        <v>51</v>
      </c>
      <c r="I2" s="17" t="s">
        <v>51</v>
      </c>
      <c r="J2" s="17" t="s">
        <v>51</v>
      </c>
      <c r="K2" s="17" t="s">
        <v>51</v>
      </c>
      <c r="L2" s="17" t="s">
        <v>51</v>
      </c>
      <c r="M2" s="17" t="s">
        <v>51</v>
      </c>
      <c r="N2" s="17" t="s">
        <v>51</v>
      </c>
      <c r="O2" s="17" t="s">
        <v>51</v>
      </c>
    </row>
    <row r="3" spans="1:15">
      <c r="A3" s="37" t="s">
        <v>52</v>
      </c>
      <c r="B3" s="37" t="s">
        <v>52</v>
      </c>
      <c r="C3" s="37" t="s">
        <v>52</v>
      </c>
      <c r="D3" s="37" t="s">
        <v>52</v>
      </c>
      <c r="E3" s="37" t="s">
        <v>52</v>
      </c>
      <c r="F3" s="37" t="s">
        <v>52</v>
      </c>
      <c r="G3" s="37" t="s">
        <v>52</v>
      </c>
      <c r="H3" s="37" t="s">
        <v>52</v>
      </c>
      <c r="I3" s="37" t="s">
        <v>52</v>
      </c>
      <c r="J3" s="37" t="s">
        <v>52</v>
      </c>
      <c r="K3" s="37" t="s">
        <v>52</v>
      </c>
      <c r="L3" s="37" t="s">
        <v>52</v>
      </c>
      <c r="M3" s="37" t="s">
        <v>52</v>
      </c>
      <c r="N3" s="37" t="s">
        <v>52</v>
      </c>
      <c r="O3" s="37" t="s">
        <v>52</v>
      </c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34">
      <c r="A5" s="31" t="s">
        <v>45</v>
      </c>
      <c r="B5" s="32" t="s">
        <v>53</v>
      </c>
      <c r="C5" s="32" t="s">
        <v>47</v>
      </c>
      <c r="D5" s="32" t="s">
        <v>54</v>
      </c>
      <c r="E5" s="32" t="s">
        <v>55</v>
      </c>
      <c r="F5" s="32" t="s">
        <v>56</v>
      </c>
      <c r="G5" s="32" t="s">
        <v>57</v>
      </c>
      <c r="H5" s="32" t="s">
        <v>58</v>
      </c>
      <c r="I5" s="32" t="s">
        <v>59</v>
      </c>
      <c r="J5" s="32" t="s">
        <v>48</v>
      </c>
      <c r="K5" s="32" t="s">
        <v>60</v>
      </c>
      <c r="L5" s="32" t="s">
        <v>61</v>
      </c>
      <c r="M5" s="32" t="s">
        <v>62</v>
      </c>
      <c r="N5" s="32" t="s">
        <v>50</v>
      </c>
      <c r="O5" s="33" t="s">
        <v>63</v>
      </c>
    </row>
    <row r="6" spans="1:15">
      <c r="A6" s="2" t="s">
        <v>64</v>
      </c>
      <c r="B6" s="38">
        <v>1180</v>
      </c>
      <c r="C6" s="38">
        <v>900</v>
      </c>
      <c r="D6" s="39">
        <f>AVERAGEIFS('Historical Data'!$F$4:$F$75,'Historical Data'!$B$4:$B$75,A6)</f>
        <v>1033.5</v>
      </c>
      <c r="E6" s="39">
        <f>MAX(1,AVERAGEIFS('Historical Data'!$F$4:$F$75,'Historical Data'!$B$4:$B$75,A6,'Historical Data'!$A$4:$A$75,"&gt;="&amp;DATE(2025,11,1))/D6)</f>
        <v>1.5621673923560715</v>
      </c>
      <c r="F6" s="39">
        <f t="shared" ref="F6:F11" si="0">D6*E6</f>
        <v>1614.5</v>
      </c>
      <c r="G6" s="40">
        <v>10</v>
      </c>
      <c r="H6" s="39">
        <f t="shared" ref="H6:H11" si="1">F6/30</f>
        <v>53.81666666666667</v>
      </c>
      <c r="I6" s="39">
        <f t="shared" ref="I6:I11" si="2">H6*7</f>
        <v>376.7166666666667</v>
      </c>
      <c r="J6" s="39">
        <f t="shared" ref="J6:J11" si="3">H6*G6+I6</f>
        <v>914.88333333333344</v>
      </c>
      <c r="K6" s="39">
        <f t="shared" ref="K6:K11" si="4">B6+C6</f>
        <v>2080</v>
      </c>
      <c r="L6" s="36">
        <f t="shared" ref="L6:L11" si="5">IFERROR(K6/H6/7,0)</f>
        <v>5.5213909658009994</v>
      </c>
      <c r="M6" s="39">
        <f t="shared" ref="M6:M11" si="6">MAX(0,ROUNDUP(F6*1.5-K6,0))</f>
        <v>342</v>
      </c>
      <c r="N6" s="2" t="str">
        <f t="shared" ref="N6:N11" si="7">IF(K6&lt;J6,"RED - Reorder Now",IF(L6&lt;4,"AMBER - Monitor","GREEN - Sufficient"))</f>
        <v>GREEN - Sufficient</v>
      </c>
      <c r="O6" s="2" t="str">
        <f t="shared" ref="O6:O11" si="8">IF(N6="RED - Reorder Now","Place expedited PO",IF(N6="AMBER - Monitor","Review in 48 hours","No action"))</f>
        <v>No action</v>
      </c>
    </row>
    <row r="7" spans="1:15">
      <c r="A7" s="2" t="s">
        <v>65</v>
      </c>
      <c r="B7" s="38">
        <v>710</v>
      </c>
      <c r="C7" s="38">
        <v>600</v>
      </c>
      <c r="D7" s="39">
        <f>AVERAGEIFS('Historical Data'!$F$4:$F$75,'Historical Data'!$B$4:$B$75,A7)</f>
        <v>825.83333333333337</v>
      </c>
      <c r="E7" s="39">
        <f>MAX(1,AVERAGEIFS('Historical Data'!$F$4:$F$75,'Historical Data'!$B$4:$B$75,A7,'Historical Data'!$A$4:$A$75,"&gt;="&amp;DATE(2025,11,1))/D7)</f>
        <v>1.532996972754793</v>
      </c>
      <c r="F7" s="39">
        <f t="shared" si="0"/>
        <v>1266</v>
      </c>
      <c r="G7" s="40">
        <v>12</v>
      </c>
      <c r="H7" s="39">
        <f t="shared" si="1"/>
        <v>42.2</v>
      </c>
      <c r="I7" s="39">
        <f t="shared" si="2"/>
        <v>295.40000000000003</v>
      </c>
      <c r="J7" s="39">
        <f t="shared" si="3"/>
        <v>801.80000000000007</v>
      </c>
      <c r="K7" s="39">
        <f t="shared" si="4"/>
        <v>1310</v>
      </c>
      <c r="L7" s="36">
        <f t="shared" si="5"/>
        <v>4.4346648612051451</v>
      </c>
      <c r="M7" s="39">
        <f t="shared" si="6"/>
        <v>589</v>
      </c>
      <c r="N7" s="2" t="str">
        <f t="shared" si="7"/>
        <v>GREEN - Sufficient</v>
      </c>
      <c r="O7" s="2" t="str">
        <f t="shared" si="8"/>
        <v>No action</v>
      </c>
    </row>
    <row r="8" spans="1:15">
      <c r="A8" s="2" t="s">
        <v>66</v>
      </c>
      <c r="B8" s="38">
        <v>520</v>
      </c>
      <c r="C8" s="38">
        <v>800</v>
      </c>
      <c r="D8" s="39">
        <f>AVERAGEIFS('Historical Data'!$F$4:$F$75,'Historical Data'!$B$4:$B$75,A8)</f>
        <v>758</v>
      </c>
      <c r="E8" s="39">
        <f>MAX(1,AVERAGEIFS('Historical Data'!$F$4:$F$75,'Historical Data'!$B$4:$B$75,A8,'Historical Data'!$A$4:$A$75,"&gt;="&amp;DATE(2025,11,1))/D8)</f>
        <v>1.5006596306068603</v>
      </c>
      <c r="F8" s="39">
        <f t="shared" si="0"/>
        <v>1137.5</v>
      </c>
      <c r="G8" s="40">
        <v>14</v>
      </c>
      <c r="H8" s="39">
        <f t="shared" si="1"/>
        <v>37.916666666666664</v>
      </c>
      <c r="I8" s="39">
        <f t="shared" si="2"/>
        <v>265.41666666666663</v>
      </c>
      <c r="J8" s="39">
        <f t="shared" si="3"/>
        <v>796.24999999999989</v>
      </c>
      <c r="K8" s="39">
        <f t="shared" si="4"/>
        <v>1320</v>
      </c>
      <c r="L8" s="36">
        <f t="shared" si="5"/>
        <v>4.9733124018838311</v>
      </c>
      <c r="M8" s="39">
        <f t="shared" si="6"/>
        <v>387</v>
      </c>
      <c r="N8" s="2" t="str">
        <f t="shared" si="7"/>
        <v>GREEN - Sufficient</v>
      </c>
      <c r="O8" s="2" t="str">
        <f t="shared" si="8"/>
        <v>No action</v>
      </c>
    </row>
    <row r="9" spans="1:15">
      <c r="A9" s="2" t="s">
        <v>67</v>
      </c>
      <c r="B9" s="38">
        <v>980</v>
      </c>
      <c r="C9" s="38">
        <v>0</v>
      </c>
      <c r="D9" s="39">
        <f>AVERAGEIFS('Historical Data'!$F$4:$F$75,'Historical Data'!$B$4:$B$75,A9)</f>
        <v>693.25</v>
      </c>
      <c r="E9" s="39">
        <f>MAX(1,AVERAGEIFS('Historical Data'!$F$4:$F$75,'Historical Data'!$B$4:$B$75,A9,'Historical Data'!$A$4:$A$75,"&gt;="&amp;DATE(2025,11,1))/D9)</f>
        <v>1.5600432744320232</v>
      </c>
      <c r="F9" s="39">
        <f t="shared" si="0"/>
        <v>1081.5</v>
      </c>
      <c r="G9" s="40">
        <v>10</v>
      </c>
      <c r="H9" s="39">
        <f t="shared" si="1"/>
        <v>36.049999999999997</v>
      </c>
      <c r="I9" s="39">
        <f t="shared" si="2"/>
        <v>252.34999999999997</v>
      </c>
      <c r="J9" s="39">
        <f t="shared" si="3"/>
        <v>612.84999999999991</v>
      </c>
      <c r="K9" s="39">
        <f t="shared" si="4"/>
        <v>980</v>
      </c>
      <c r="L9" s="36">
        <f t="shared" si="5"/>
        <v>3.8834951456310685</v>
      </c>
      <c r="M9" s="39">
        <f t="shared" si="6"/>
        <v>643</v>
      </c>
      <c r="N9" s="2" t="str">
        <f t="shared" si="7"/>
        <v>AMBER - Monitor</v>
      </c>
      <c r="O9" s="2" t="str">
        <f t="shared" si="8"/>
        <v>Review in 48 hours</v>
      </c>
    </row>
    <row r="10" spans="1:15">
      <c r="A10" s="2" t="s">
        <v>68</v>
      </c>
      <c r="B10" s="38">
        <v>430</v>
      </c>
      <c r="C10" s="38">
        <v>650</v>
      </c>
      <c r="D10" s="39">
        <f>AVERAGEIFS('Historical Data'!$F$4:$F$75,'Historical Data'!$B$4:$B$75,A10)</f>
        <v>617.41666666666663</v>
      </c>
      <c r="E10" s="39">
        <f>MAX(1,AVERAGEIFS('Historical Data'!$F$4:$F$75,'Historical Data'!$B$4:$B$75,A10,'Historical Data'!$A$4:$A$75,"&gt;="&amp;DATE(2025,11,1))/D10)</f>
        <v>1.5459576191118911</v>
      </c>
      <c r="F10" s="39">
        <f t="shared" si="0"/>
        <v>954.5</v>
      </c>
      <c r="G10" s="40">
        <v>15</v>
      </c>
      <c r="H10" s="39">
        <f t="shared" si="1"/>
        <v>31.816666666666666</v>
      </c>
      <c r="I10" s="39">
        <f t="shared" si="2"/>
        <v>222.71666666666667</v>
      </c>
      <c r="J10" s="39">
        <f t="shared" si="3"/>
        <v>699.9666666666667</v>
      </c>
      <c r="K10" s="39">
        <f t="shared" si="4"/>
        <v>1080</v>
      </c>
      <c r="L10" s="36">
        <f t="shared" si="5"/>
        <v>4.8492105066227635</v>
      </c>
      <c r="M10" s="39">
        <f t="shared" si="6"/>
        <v>352</v>
      </c>
      <c r="N10" s="2" t="str">
        <f t="shared" si="7"/>
        <v>GREEN - Sufficient</v>
      </c>
      <c r="O10" s="2" t="str">
        <f t="shared" si="8"/>
        <v>No action</v>
      </c>
    </row>
    <row r="11" spans="1:15">
      <c r="A11" s="2" t="s">
        <v>69</v>
      </c>
      <c r="B11" s="38">
        <v>650</v>
      </c>
      <c r="C11" s="38">
        <v>900</v>
      </c>
      <c r="D11" s="39">
        <f>AVERAGEIFS('Historical Data'!$F$4:$F$75,'Historical Data'!$B$4:$B$75,A11)</f>
        <v>890.75</v>
      </c>
      <c r="E11" s="39">
        <f>MAX(1,AVERAGEIFS('Historical Data'!$F$4:$F$75,'Historical Data'!$B$4:$B$75,A11,'Historical Data'!$A$4:$A$75,"&gt;="&amp;DATE(2025,11,1))/D11)</f>
        <v>1.5166994106090372</v>
      </c>
      <c r="F11" s="39">
        <f t="shared" si="0"/>
        <v>1351</v>
      </c>
      <c r="G11" s="40">
        <v>12</v>
      </c>
      <c r="H11" s="39">
        <f t="shared" si="1"/>
        <v>45.033333333333331</v>
      </c>
      <c r="I11" s="39">
        <f t="shared" si="2"/>
        <v>315.23333333333335</v>
      </c>
      <c r="J11" s="39">
        <f t="shared" si="3"/>
        <v>855.63333333333333</v>
      </c>
      <c r="K11" s="39">
        <f t="shared" si="4"/>
        <v>1550</v>
      </c>
      <c r="L11" s="36">
        <f>IFERROR(K11/H11/7,0)</f>
        <v>4.9169927038172787</v>
      </c>
      <c r="M11" s="39">
        <f t="shared" si="6"/>
        <v>477</v>
      </c>
      <c r="N11" s="2" t="str">
        <f t="shared" si="7"/>
        <v>GREEN - Sufficient</v>
      </c>
      <c r="O11" s="2" t="str">
        <f t="shared" si="8"/>
        <v>No action</v>
      </c>
    </row>
  </sheetData>
  <mergeCells count="2">
    <mergeCell ref="A1:O2"/>
    <mergeCell ref="A3:O3"/>
  </mergeCells>
  <conditionalFormatting sqref="K6:K11">
    <cfRule type="dataBar" priority="4">
      <dataBar>
        <cfvo type="min"/>
        <cfvo type="max"/>
        <color rgb="FF1F7A78"/>
      </dataBar>
    </cfRule>
  </conditionalFormatting>
  <conditionalFormatting sqref="N6:N11">
    <cfRule type="containsText" dxfId="2" priority="1" operator="containsText" text="RED"/>
    <cfRule type="containsText" dxfId="1" priority="2" operator="containsText" text="AMBER"/>
    <cfRule type="containsText" dxfId="0" priority="3" operator="containsText" text="GREEN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5"/>
  <sheetViews>
    <sheetView showGridLines="0" topLeftCell="A19" workbookViewId="0">
      <selection sqref="A1:O2"/>
    </sheetView>
  </sheetViews>
  <sheetFormatPr baseColWidth="10" defaultColWidth="8.83203125" defaultRowHeight="15"/>
  <cols>
    <col min="1" max="1" width="13" customWidth="1"/>
    <col min="2" max="2" width="20" customWidth="1"/>
    <col min="3" max="15" width="13" customWidth="1"/>
  </cols>
  <sheetData>
    <row r="1" spans="1:15" ht="34" customHeight="1">
      <c r="A1" s="17" t="s">
        <v>70</v>
      </c>
      <c r="B1" s="17" t="s">
        <v>70</v>
      </c>
      <c r="C1" s="17" t="s">
        <v>70</v>
      </c>
      <c r="D1" s="17" t="s">
        <v>70</v>
      </c>
      <c r="E1" s="17" t="s">
        <v>70</v>
      </c>
      <c r="F1" s="17" t="s">
        <v>70</v>
      </c>
      <c r="G1" s="17" t="s">
        <v>70</v>
      </c>
      <c r="H1" s="17" t="s">
        <v>70</v>
      </c>
      <c r="I1" s="17" t="s">
        <v>70</v>
      </c>
      <c r="J1" s="17" t="s">
        <v>70</v>
      </c>
      <c r="K1" s="17" t="s">
        <v>70</v>
      </c>
      <c r="L1" s="17" t="s">
        <v>70</v>
      </c>
      <c r="M1" s="17" t="s">
        <v>70</v>
      </c>
      <c r="N1" s="17" t="s">
        <v>70</v>
      </c>
      <c r="O1" s="17" t="s">
        <v>70</v>
      </c>
    </row>
    <row r="2" spans="1:15" ht="34" customHeight="1">
      <c r="A2" s="17" t="s">
        <v>70</v>
      </c>
      <c r="B2" s="17" t="s">
        <v>70</v>
      </c>
      <c r="C2" s="17" t="s">
        <v>70</v>
      </c>
      <c r="D2" s="17" t="s">
        <v>70</v>
      </c>
      <c r="E2" s="17" t="s">
        <v>70</v>
      </c>
      <c r="F2" s="17" t="s">
        <v>70</v>
      </c>
      <c r="G2" s="17" t="s">
        <v>70</v>
      </c>
      <c r="H2" s="17" t="s">
        <v>70</v>
      </c>
      <c r="I2" s="17" t="s">
        <v>70</v>
      </c>
      <c r="J2" s="17" t="s">
        <v>70</v>
      </c>
      <c r="K2" s="17" t="s">
        <v>70</v>
      </c>
      <c r="L2" s="17" t="s">
        <v>70</v>
      </c>
      <c r="M2" s="17" t="s">
        <v>70</v>
      </c>
      <c r="N2" s="17" t="s">
        <v>70</v>
      </c>
      <c r="O2" s="17" t="s">
        <v>70</v>
      </c>
    </row>
    <row r="3" spans="1:15" ht="34">
      <c r="A3" s="31" t="s">
        <v>28</v>
      </c>
      <c r="B3" s="32" t="s">
        <v>45</v>
      </c>
      <c r="C3" s="32" t="s">
        <v>71</v>
      </c>
      <c r="D3" s="32" t="s">
        <v>72</v>
      </c>
      <c r="E3" s="32" t="s">
        <v>73</v>
      </c>
      <c r="F3" s="32" t="s">
        <v>74</v>
      </c>
      <c r="G3" s="32" t="s">
        <v>75</v>
      </c>
      <c r="H3" s="32" t="s">
        <v>76</v>
      </c>
      <c r="I3" s="32" t="s">
        <v>32</v>
      </c>
      <c r="J3" s="32" t="s">
        <v>77</v>
      </c>
      <c r="K3" s="32" t="s">
        <v>78</v>
      </c>
      <c r="L3" s="32" t="s">
        <v>31</v>
      </c>
      <c r="M3" s="32" t="s">
        <v>79</v>
      </c>
      <c r="N3" s="32" t="s">
        <v>80</v>
      </c>
      <c r="O3" s="33" t="s">
        <v>81</v>
      </c>
    </row>
    <row r="4" spans="1:15" ht="16">
      <c r="A4" s="41">
        <v>45658</v>
      </c>
      <c r="B4" s="2" t="s">
        <v>64</v>
      </c>
      <c r="C4" s="34">
        <v>520</v>
      </c>
      <c r="D4" s="34">
        <v>241</v>
      </c>
      <c r="E4" s="34">
        <f t="shared" ref="E4:E35" si="0">C4+D4</f>
        <v>761</v>
      </c>
      <c r="F4" s="34">
        <v>846</v>
      </c>
      <c r="G4" s="34">
        <f t="shared" ref="G4:G35" si="1">MIN(E4,F4)</f>
        <v>761</v>
      </c>
      <c r="H4" s="34">
        <f t="shared" ref="H4:H35" si="2">E4-G4</f>
        <v>0</v>
      </c>
      <c r="I4" s="34">
        <f t="shared" ref="I4:I35" si="3">MAX(0,F4-G4)</f>
        <v>85</v>
      </c>
      <c r="J4" s="34">
        <v>14</v>
      </c>
      <c r="K4" s="34">
        <f t="shared" ref="K4:K35" si="4">MAX(0,J4-ROUNDUP(I4/60,0))</f>
        <v>12</v>
      </c>
      <c r="L4" s="35">
        <f t="shared" ref="L4:L35" si="5">IFERROR(G4/F4,0)</f>
        <v>0.89952718676122934</v>
      </c>
      <c r="M4" s="34">
        <v>11</v>
      </c>
      <c r="N4" s="34">
        <v>694</v>
      </c>
      <c r="O4" s="35">
        <f t="shared" ref="O4:O35" si="6">IFERROR(1-ABS(N4-F4)/F4,0)</f>
        <v>0.82033096926713944</v>
      </c>
    </row>
    <row r="5" spans="1:15" ht="16">
      <c r="A5" s="41">
        <v>45658</v>
      </c>
      <c r="B5" s="2" t="s">
        <v>65</v>
      </c>
      <c r="C5" s="34">
        <v>430</v>
      </c>
      <c r="D5" s="34">
        <v>250</v>
      </c>
      <c r="E5" s="34">
        <f t="shared" si="0"/>
        <v>680</v>
      </c>
      <c r="F5" s="34">
        <v>756</v>
      </c>
      <c r="G5" s="34">
        <f t="shared" si="1"/>
        <v>680</v>
      </c>
      <c r="H5" s="34">
        <f t="shared" si="2"/>
        <v>0</v>
      </c>
      <c r="I5" s="34">
        <f t="shared" si="3"/>
        <v>76</v>
      </c>
      <c r="J5" s="34">
        <v>13</v>
      </c>
      <c r="K5" s="34">
        <f t="shared" si="4"/>
        <v>11</v>
      </c>
      <c r="L5" s="35">
        <f t="shared" si="5"/>
        <v>0.89947089947089942</v>
      </c>
      <c r="M5" s="34">
        <v>10</v>
      </c>
      <c r="N5" s="34">
        <v>627</v>
      </c>
      <c r="O5" s="35">
        <f t="shared" si="6"/>
        <v>0.82936507936507931</v>
      </c>
    </row>
    <row r="6" spans="1:15" ht="16">
      <c r="A6" s="41">
        <v>45658</v>
      </c>
      <c r="B6" s="2" t="s">
        <v>66</v>
      </c>
      <c r="C6" s="34">
        <v>390</v>
      </c>
      <c r="D6" s="34">
        <v>222</v>
      </c>
      <c r="E6" s="34">
        <f t="shared" si="0"/>
        <v>612</v>
      </c>
      <c r="F6" s="34">
        <v>680</v>
      </c>
      <c r="G6" s="34">
        <f t="shared" si="1"/>
        <v>612</v>
      </c>
      <c r="H6" s="34">
        <f t="shared" si="2"/>
        <v>0</v>
      </c>
      <c r="I6" s="34">
        <f t="shared" si="3"/>
        <v>68</v>
      </c>
      <c r="J6" s="34">
        <v>11</v>
      </c>
      <c r="K6" s="34">
        <f t="shared" si="4"/>
        <v>9</v>
      </c>
      <c r="L6" s="35">
        <f t="shared" si="5"/>
        <v>0.9</v>
      </c>
      <c r="M6" s="34">
        <v>8</v>
      </c>
      <c r="N6" s="34">
        <v>571</v>
      </c>
      <c r="O6" s="35">
        <f t="shared" si="6"/>
        <v>0.83970588235294119</v>
      </c>
    </row>
    <row r="7" spans="1:15" ht="16">
      <c r="A7" s="41">
        <v>45658</v>
      </c>
      <c r="B7" s="2" t="s">
        <v>67</v>
      </c>
      <c r="C7" s="34">
        <v>360</v>
      </c>
      <c r="D7" s="34">
        <v>185</v>
      </c>
      <c r="E7" s="34">
        <f t="shared" si="0"/>
        <v>545</v>
      </c>
      <c r="F7" s="34">
        <v>606</v>
      </c>
      <c r="G7" s="34">
        <f t="shared" si="1"/>
        <v>545</v>
      </c>
      <c r="H7" s="34">
        <f t="shared" si="2"/>
        <v>0</v>
      </c>
      <c r="I7" s="34">
        <f t="shared" si="3"/>
        <v>61</v>
      </c>
      <c r="J7" s="34">
        <v>10</v>
      </c>
      <c r="K7" s="34">
        <f t="shared" si="4"/>
        <v>8</v>
      </c>
      <c r="L7" s="35">
        <f t="shared" si="5"/>
        <v>0.89933993399339929</v>
      </c>
      <c r="M7" s="34">
        <v>7</v>
      </c>
      <c r="N7" s="34">
        <v>515</v>
      </c>
      <c r="O7" s="35">
        <f t="shared" si="6"/>
        <v>0.84983498349834985</v>
      </c>
    </row>
    <row r="8" spans="1:15" ht="16">
      <c r="A8" s="41">
        <v>45658</v>
      </c>
      <c r="B8" s="2" t="s">
        <v>68</v>
      </c>
      <c r="C8" s="34">
        <v>330</v>
      </c>
      <c r="D8" s="34">
        <v>152</v>
      </c>
      <c r="E8" s="34">
        <f t="shared" si="0"/>
        <v>482</v>
      </c>
      <c r="F8" s="34">
        <v>535</v>
      </c>
      <c r="G8" s="34">
        <f t="shared" si="1"/>
        <v>482</v>
      </c>
      <c r="H8" s="34">
        <f t="shared" si="2"/>
        <v>0</v>
      </c>
      <c r="I8" s="34">
        <f t="shared" si="3"/>
        <v>53</v>
      </c>
      <c r="J8" s="34">
        <v>9</v>
      </c>
      <c r="K8" s="34">
        <f t="shared" si="4"/>
        <v>8</v>
      </c>
      <c r="L8" s="35">
        <f t="shared" si="5"/>
        <v>0.90093457943925237</v>
      </c>
      <c r="M8" s="34">
        <v>7</v>
      </c>
      <c r="N8" s="34">
        <v>460</v>
      </c>
      <c r="O8" s="35">
        <f t="shared" si="6"/>
        <v>0.85981308411214952</v>
      </c>
    </row>
    <row r="9" spans="1:15" ht="16">
      <c r="A9" s="41">
        <v>45658</v>
      </c>
      <c r="B9" s="2" t="s">
        <v>69</v>
      </c>
      <c r="C9" s="34">
        <v>450</v>
      </c>
      <c r="D9" s="34">
        <v>231</v>
      </c>
      <c r="E9" s="34">
        <f t="shared" si="0"/>
        <v>681</v>
      </c>
      <c r="F9" s="34">
        <v>757</v>
      </c>
      <c r="G9" s="34">
        <f t="shared" si="1"/>
        <v>681</v>
      </c>
      <c r="H9" s="34">
        <f t="shared" si="2"/>
        <v>0</v>
      </c>
      <c r="I9" s="34">
        <f t="shared" si="3"/>
        <v>76</v>
      </c>
      <c r="J9" s="34">
        <v>13</v>
      </c>
      <c r="K9" s="34">
        <f t="shared" si="4"/>
        <v>11</v>
      </c>
      <c r="L9" s="35">
        <f t="shared" si="5"/>
        <v>0.89960369881109647</v>
      </c>
      <c r="M9" s="34">
        <v>10</v>
      </c>
      <c r="N9" s="34">
        <v>659</v>
      </c>
      <c r="O9" s="35">
        <f t="shared" si="6"/>
        <v>0.8705416116248349</v>
      </c>
    </row>
    <row r="10" spans="1:15" ht="16">
      <c r="A10" s="41">
        <v>45689</v>
      </c>
      <c r="B10" s="2" t="s">
        <v>64</v>
      </c>
      <c r="C10" s="34">
        <v>0</v>
      </c>
      <c r="D10" s="34">
        <v>818</v>
      </c>
      <c r="E10" s="34">
        <f t="shared" si="0"/>
        <v>818</v>
      </c>
      <c r="F10" s="34">
        <v>909</v>
      </c>
      <c r="G10" s="34">
        <f t="shared" si="1"/>
        <v>818</v>
      </c>
      <c r="H10" s="34">
        <f t="shared" si="2"/>
        <v>0</v>
      </c>
      <c r="I10" s="34">
        <f t="shared" si="3"/>
        <v>91</v>
      </c>
      <c r="J10" s="34">
        <v>15</v>
      </c>
      <c r="K10" s="34">
        <f t="shared" si="4"/>
        <v>13</v>
      </c>
      <c r="L10" s="35">
        <f t="shared" si="5"/>
        <v>0.89988998899889994</v>
      </c>
      <c r="M10" s="34">
        <v>11</v>
      </c>
      <c r="N10" s="34">
        <v>754</v>
      </c>
      <c r="O10" s="35">
        <f t="shared" si="6"/>
        <v>0.82948294829482949</v>
      </c>
    </row>
    <row r="11" spans="1:15" ht="16">
      <c r="A11" s="41">
        <v>45689</v>
      </c>
      <c r="B11" s="2" t="s">
        <v>65</v>
      </c>
      <c r="C11" s="34">
        <v>0</v>
      </c>
      <c r="D11" s="34">
        <v>642</v>
      </c>
      <c r="E11" s="34">
        <f t="shared" si="0"/>
        <v>642</v>
      </c>
      <c r="F11" s="34">
        <v>713</v>
      </c>
      <c r="G11" s="34">
        <f t="shared" si="1"/>
        <v>642</v>
      </c>
      <c r="H11" s="34">
        <f t="shared" si="2"/>
        <v>0</v>
      </c>
      <c r="I11" s="34">
        <f t="shared" si="3"/>
        <v>71</v>
      </c>
      <c r="J11" s="34">
        <v>12</v>
      </c>
      <c r="K11" s="34">
        <f t="shared" si="4"/>
        <v>10</v>
      </c>
      <c r="L11" s="35">
        <f t="shared" si="5"/>
        <v>0.90042075736325389</v>
      </c>
      <c r="M11" s="34">
        <v>9</v>
      </c>
      <c r="N11" s="34">
        <v>599</v>
      </c>
      <c r="O11" s="35">
        <f t="shared" si="6"/>
        <v>0.84011220196353431</v>
      </c>
    </row>
    <row r="12" spans="1:15" ht="16">
      <c r="A12" s="41">
        <v>45689</v>
      </c>
      <c r="B12" s="2" t="s">
        <v>66</v>
      </c>
      <c r="C12" s="34">
        <v>0</v>
      </c>
      <c r="D12" s="34">
        <v>576</v>
      </c>
      <c r="E12" s="34">
        <f t="shared" si="0"/>
        <v>576</v>
      </c>
      <c r="F12" s="34">
        <v>640</v>
      </c>
      <c r="G12" s="34">
        <f t="shared" si="1"/>
        <v>576</v>
      </c>
      <c r="H12" s="34">
        <f t="shared" si="2"/>
        <v>0</v>
      </c>
      <c r="I12" s="34">
        <f t="shared" si="3"/>
        <v>64</v>
      </c>
      <c r="J12" s="34">
        <v>11</v>
      </c>
      <c r="K12" s="34">
        <f t="shared" si="4"/>
        <v>9</v>
      </c>
      <c r="L12" s="35">
        <f t="shared" si="5"/>
        <v>0.9</v>
      </c>
      <c r="M12" s="34">
        <v>8</v>
      </c>
      <c r="N12" s="34">
        <v>544</v>
      </c>
      <c r="O12" s="35">
        <f t="shared" si="6"/>
        <v>0.85</v>
      </c>
    </row>
    <row r="13" spans="1:15" ht="16">
      <c r="A13" s="41">
        <v>45689</v>
      </c>
      <c r="B13" s="2" t="s">
        <v>67</v>
      </c>
      <c r="C13" s="34">
        <v>0</v>
      </c>
      <c r="D13" s="34">
        <v>513</v>
      </c>
      <c r="E13" s="34">
        <f t="shared" si="0"/>
        <v>513</v>
      </c>
      <c r="F13" s="34">
        <v>570</v>
      </c>
      <c r="G13" s="34">
        <f t="shared" si="1"/>
        <v>513</v>
      </c>
      <c r="H13" s="34">
        <f t="shared" si="2"/>
        <v>0</v>
      </c>
      <c r="I13" s="34">
        <f t="shared" si="3"/>
        <v>57</v>
      </c>
      <c r="J13" s="34">
        <v>10</v>
      </c>
      <c r="K13" s="34">
        <f t="shared" si="4"/>
        <v>9</v>
      </c>
      <c r="L13" s="35">
        <f t="shared" si="5"/>
        <v>0.9</v>
      </c>
      <c r="M13" s="34">
        <v>8</v>
      </c>
      <c r="N13" s="34">
        <v>490</v>
      </c>
      <c r="O13" s="35">
        <f t="shared" si="6"/>
        <v>0.85964912280701755</v>
      </c>
    </row>
    <row r="14" spans="1:15" ht="16">
      <c r="A14" s="41">
        <v>45689</v>
      </c>
      <c r="B14" s="2" t="s">
        <v>68</v>
      </c>
      <c r="C14" s="34">
        <v>0</v>
      </c>
      <c r="D14" s="34">
        <v>515</v>
      </c>
      <c r="E14" s="34">
        <f t="shared" si="0"/>
        <v>515</v>
      </c>
      <c r="F14" s="34">
        <v>572</v>
      </c>
      <c r="G14" s="34">
        <f t="shared" si="1"/>
        <v>515</v>
      </c>
      <c r="H14" s="34">
        <f t="shared" si="2"/>
        <v>0</v>
      </c>
      <c r="I14" s="34">
        <f t="shared" si="3"/>
        <v>57</v>
      </c>
      <c r="J14" s="34">
        <v>10</v>
      </c>
      <c r="K14" s="34">
        <f t="shared" si="4"/>
        <v>9</v>
      </c>
      <c r="L14" s="35">
        <f t="shared" si="5"/>
        <v>0.90034965034965031</v>
      </c>
      <c r="M14" s="34">
        <v>8</v>
      </c>
      <c r="N14" s="34">
        <v>498</v>
      </c>
      <c r="O14" s="35">
        <f t="shared" si="6"/>
        <v>0.87062937062937062</v>
      </c>
    </row>
    <row r="15" spans="1:15" ht="16">
      <c r="A15" s="41">
        <v>45689</v>
      </c>
      <c r="B15" s="2" t="s">
        <v>69</v>
      </c>
      <c r="C15" s="34">
        <v>0</v>
      </c>
      <c r="D15" s="34">
        <v>730</v>
      </c>
      <c r="E15" s="34">
        <f t="shared" si="0"/>
        <v>730</v>
      </c>
      <c r="F15" s="34">
        <v>811</v>
      </c>
      <c r="G15" s="34">
        <f t="shared" si="1"/>
        <v>730</v>
      </c>
      <c r="H15" s="34">
        <f t="shared" si="2"/>
        <v>0</v>
      </c>
      <c r="I15" s="34">
        <f t="shared" si="3"/>
        <v>81</v>
      </c>
      <c r="J15" s="34">
        <v>14</v>
      </c>
      <c r="K15" s="34">
        <f t="shared" si="4"/>
        <v>12</v>
      </c>
      <c r="L15" s="35">
        <f t="shared" si="5"/>
        <v>0.90012330456226886</v>
      </c>
      <c r="M15" s="34">
        <v>11</v>
      </c>
      <c r="N15" s="34">
        <v>714</v>
      </c>
      <c r="O15" s="35">
        <f t="shared" si="6"/>
        <v>0.88039457459926018</v>
      </c>
    </row>
    <row r="16" spans="1:15" ht="16">
      <c r="A16" s="41">
        <v>45717</v>
      </c>
      <c r="B16" s="2" t="s">
        <v>64</v>
      </c>
      <c r="C16" s="34">
        <v>0</v>
      </c>
      <c r="D16" s="34">
        <v>770</v>
      </c>
      <c r="E16" s="34">
        <f t="shared" si="0"/>
        <v>770</v>
      </c>
      <c r="F16" s="34">
        <v>855</v>
      </c>
      <c r="G16" s="34">
        <f t="shared" si="1"/>
        <v>770</v>
      </c>
      <c r="H16" s="34">
        <f t="shared" si="2"/>
        <v>0</v>
      </c>
      <c r="I16" s="34">
        <f t="shared" si="3"/>
        <v>85</v>
      </c>
      <c r="J16" s="34">
        <v>14</v>
      </c>
      <c r="K16" s="34">
        <f t="shared" si="4"/>
        <v>12</v>
      </c>
      <c r="L16" s="35">
        <f t="shared" si="5"/>
        <v>0.90058479532163738</v>
      </c>
      <c r="M16" s="34">
        <v>11</v>
      </c>
      <c r="N16" s="34">
        <v>718</v>
      </c>
      <c r="O16" s="35">
        <f t="shared" si="6"/>
        <v>0.83976608187134505</v>
      </c>
    </row>
    <row r="17" spans="1:15" ht="16">
      <c r="A17" s="41">
        <v>45717</v>
      </c>
      <c r="B17" s="2" t="s">
        <v>65</v>
      </c>
      <c r="C17" s="34">
        <v>0</v>
      </c>
      <c r="D17" s="34">
        <v>687</v>
      </c>
      <c r="E17" s="34">
        <f t="shared" si="0"/>
        <v>687</v>
      </c>
      <c r="F17" s="34">
        <v>763</v>
      </c>
      <c r="G17" s="34">
        <f t="shared" si="1"/>
        <v>687</v>
      </c>
      <c r="H17" s="34">
        <f t="shared" si="2"/>
        <v>0</v>
      </c>
      <c r="I17" s="34">
        <f t="shared" si="3"/>
        <v>76</v>
      </c>
      <c r="J17" s="34">
        <v>13</v>
      </c>
      <c r="K17" s="34">
        <f t="shared" si="4"/>
        <v>11</v>
      </c>
      <c r="L17" s="35">
        <f t="shared" si="5"/>
        <v>0.90039318479685448</v>
      </c>
      <c r="M17" s="34">
        <v>10</v>
      </c>
      <c r="N17" s="34">
        <v>649</v>
      </c>
      <c r="O17" s="35">
        <f t="shared" si="6"/>
        <v>0.85058977719528173</v>
      </c>
    </row>
    <row r="18" spans="1:15" ht="16">
      <c r="A18" s="41">
        <v>45717</v>
      </c>
      <c r="B18" s="2" t="s">
        <v>66</v>
      </c>
      <c r="C18" s="34">
        <v>0</v>
      </c>
      <c r="D18" s="34">
        <v>617</v>
      </c>
      <c r="E18" s="34">
        <f t="shared" si="0"/>
        <v>617</v>
      </c>
      <c r="F18" s="34">
        <v>686</v>
      </c>
      <c r="G18" s="34">
        <f t="shared" si="1"/>
        <v>617</v>
      </c>
      <c r="H18" s="34">
        <f t="shared" si="2"/>
        <v>0</v>
      </c>
      <c r="I18" s="34">
        <f t="shared" si="3"/>
        <v>69</v>
      </c>
      <c r="J18" s="34">
        <v>11</v>
      </c>
      <c r="K18" s="34">
        <f t="shared" si="4"/>
        <v>9</v>
      </c>
      <c r="L18" s="35">
        <f t="shared" si="5"/>
        <v>0.8994169096209913</v>
      </c>
      <c r="M18" s="34">
        <v>8</v>
      </c>
      <c r="N18" s="34">
        <v>590</v>
      </c>
      <c r="O18" s="35">
        <f t="shared" si="6"/>
        <v>0.86005830903790081</v>
      </c>
    </row>
    <row r="19" spans="1:15" ht="16">
      <c r="A19" s="41">
        <v>45717</v>
      </c>
      <c r="B19" s="2" t="s">
        <v>67</v>
      </c>
      <c r="C19" s="34">
        <v>0</v>
      </c>
      <c r="D19" s="34">
        <v>551</v>
      </c>
      <c r="E19" s="34">
        <f t="shared" si="0"/>
        <v>551</v>
      </c>
      <c r="F19" s="34">
        <v>612</v>
      </c>
      <c r="G19" s="34">
        <f t="shared" si="1"/>
        <v>551</v>
      </c>
      <c r="H19" s="34">
        <f t="shared" si="2"/>
        <v>0</v>
      </c>
      <c r="I19" s="34">
        <f t="shared" si="3"/>
        <v>61</v>
      </c>
      <c r="J19" s="34">
        <v>10</v>
      </c>
      <c r="K19" s="34">
        <f t="shared" si="4"/>
        <v>8</v>
      </c>
      <c r="L19" s="35">
        <f t="shared" si="5"/>
        <v>0.90032679738562094</v>
      </c>
      <c r="M19" s="34">
        <v>7</v>
      </c>
      <c r="N19" s="34">
        <v>532</v>
      </c>
      <c r="O19" s="35">
        <f t="shared" si="6"/>
        <v>0.86928104575163401</v>
      </c>
    </row>
    <row r="20" spans="1:15" ht="16">
      <c r="A20" s="41">
        <v>45717</v>
      </c>
      <c r="B20" s="2" t="s">
        <v>68</v>
      </c>
      <c r="C20" s="34">
        <v>0</v>
      </c>
      <c r="D20" s="34">
        <v>486</v>
      </c>
      <c r="E20" s="34">
        <f t="shared" si="0"/>
        <v>486</v>
      </c>
      <c r="F20" s="34">
        <v>540</v>
      </c>
      <c r="G20" s="34">
        <f t="shared" si="1"/>
        <v>486</v>
      </c>
      <c r="H20" s="34">
        <f t="shared" si="2"/>
        <v>0</v>
      </c>
      <c r="I20" s="34">
        <f t="shared" si="3"/>
        <v>54</v>
      </c>
      <c r="J20" s="34">
        <v>9</v>
      </c>
      <c r="K20" s="34">
        <f t="shared" si="4"/>
        <v>8</v>
      </c>
      <c r="L20" s="35">
        <f t="shared" si="5"/>
        <v>0.9</v>
      </c>
      <c r="M20" s="34">
        <v>7</v>
      </c>
      <c r="N20" s="34">
        <v>475</v>
      </c>
      <c r="O20" s="35">
        <f t="shared" si="6"/>
        <v>0.87962962962962965</v>
      </c>
    </row>
    <row r="21" spans="1:15" ht="16">
      <c r="A21" s="41">
        <v>45717</v>
      </c>
      <c r="B21" s="2" t="s">
        <v>69</v>
      </c>
      <c r="C21" s="34">
        <v>0</v>
      </c>
      <c r="D21" s="34">
        <v>688</v>
      </c>
      <c r="E21" s="34">
        <f t="shared" si="0"/>
        <v>688</v>
      </c>
      <c r="F21" s="34">
        <v>764</v>
      </c>
      <c r="G21" s="34">
        <f t="shared" si="1"/>
        <v>688</v>
      </c>
      <c r="H21" s="34">
        <f t="shared" si="2"/>
        <v>0</v>
      </c>
      <c r="I21" s="34">
        <f t="shared" si="3"/>
        <v>76</v>
      </c>
      <c r="J21" s="34">
        <v>13</v>
      </c>
      <c r="K21" s="34">
        <f t="shared" si="4"/>
        <v>11</v>
      </c>
      <c r="L21" s="35">
        <f t="shared" si="5"/>
        <v>0.90052356020942403</v>
      </c>
      <c r="M21" s="34">
        <v>10</v>
      </c>
      <c r="N21" s="34">
        <v>680</v>
      </c>
      <c r="O21" s="35">
        <f t="shared" si="6"/>
        <v>0.89005235602094235</v>
      </c>
    </row>
    <row r="22" spans="1:15" ht="16">
      <c r="A22" s="41">
        <v>45748</v>
      </c>
      <c r="B22" s="2" t="s">
        <v>64</v>
      </c>
      <c r="C22" s="34">
        <v>0</v>
      </c>
      <c r="D22" s="34">
        <v>826</v>
      </c>
      <c r="E22" s="34">
        <f t="shared" si="0"/>
        <v>826</v>
      </c>
      <c r="F22" s="34">
        <v>918</v>
      </c>
      <c r="G22" s="34">
        <f t="shared" si="1"/>
        <v>826</v>
      </c>
      <c r="H22" s="34">
        <f t="shared" si="2"/>
        <v>0</v>
      </c>
      <c r="I22" s="34">
        <f t="shared" si="3"/>
        <v>92</v>
      </c>
      <c r="J22" s="34">
        <v>15</v>
      </c>
      <c r="K22" s="34">
        <f t="shared" si="4"/>
        <v>13</v>
      </c>
      <c r="L22" s="35">
        <f t="shared" si="5"/>
        <v>0.89978213507625271</v>
      </c>
      <c r="M22" s="34">
        <v>11</v>
      </c>
      <c r="N22" s="34">
        <v>780</v>
      </c>
      <c r="O22" s="35">
        <f t="shared" si="6"/>
        <v>0.84967320261437906</v>
      </c>
    </row>
    <row r="23" spans="1:15" ht="16">
      <c r="A23" s="41">
        <v>45748</v>
      </c>
      <c r="B23" s="2" t="s">
        <v>65</v>
      </c>
      <c r="C23" s="34">
        <v>0</v>
      </c>
      <c r="D23" s="34">
        <v>648</v>
      </c>
      <c r="E23" s="34">
        <f t="shared" si="0"/>
        <v>648</v>
      </c>
      <c r="F23" s="34">
        <v>720</v>
      </c>
      <c r="G23" s="34">
        <f t="shared" si="1"/>
        <v>648</v>
      </c>
      <c r="H23" s="34">
        <f t="shared" si="2"/>
        <v>0</v>
      </c>
      <c r="I23" s="34">
        <f t="shared" si="3"/>
        <v>72</v>
      </c>
      <c r="J23" s="34">
        <v>12</v>
      </c>
      <c r="K23" s="34">
        <f t="shared" si="4"/>
        <v>10</v>
      </c>
      <c r="L23" s="35">
        <f t="shared" si="5"/>
        <v>0.9</v>
      </c>
      <c r="M23" s="34">
        <v>9</v>
      </c>
      <c r="N23" s="34">
        <v>619</v>
      </c>
      <c r="O23" s="35">
        <f t="shared" si="6"/>
        <v>0.85972222222222228</v>
      </c>
    </row>
    <row r="24" spans="1:15" ht="16">
      <c r="A24" s="41">
        <v>45748</v>
      </c>
      <c r="B24" s="2" t="s">
        <v>66</v>
      </c>
      <c r="C24" s="34">
        <v>0</v>
      </c>
      <c r="D24" s="34">
        <v>582</v>
      </c>
      <c r="E24" s="34">
        <f t="shared" si="0"/>
        <v>582</v>
      </c>
      <c r="F24" s="34">
        <v>647</v>
      </c>
      <c r="G24" s="34">
        <f t="shared" si="1"/>
        <v>582</v>
      </c>
      <c r="H24" s="34">
        <f t="shared" si="2"/>
        <v>0</v>
      </c>
      <c r="I24" s="34">
        <f t="shared" si="3"/>
        <v>65</v>
      </c>
      <c r="J24" s="34">
        <v>11</v>
      </c>
      <c r="K24" s="34">
        <f t="shared" si="4"/>
        <v>9</v>
      </c>
      <c r="L24" s="35">
        <f t="shared" si="5"/>
        <v>0.89953632148377127</v>
      </c>
      <c r="M24" s="34">
        <v>8</v>
      </c>
      <c r="N24" s="34">
        <v>563</v>
      </c>
      <c r="O24" s="35">
        <f t="shared" si="6"/>
        <v>0.87017001545595052</v>
      </c>
    </row>
    <row r="25" spans="1:15" ht="16">
      <c r="A25" s="41">
        <v>45748</v>
      </c>
      <c r="B25" s="2" t="s">
        <v>67</v>
      </c>
      <c r="C25" s="34">
        <v>0</v>
      </c>
      <c r="D25" s="34">
        <v>518</v>
      </c>
      <c r="E25" s="34">
        <f t="shared" si="0"/>
        <v>518</v>
      </c>
      <c r="F25" s="34">
        <v>576</v>
      </c>
      <c r="G25" s="34">
        <f t="shared" si="1"/>
        <v>518</v>
      </c>
      <c r="H25" s="34">
        <f t="shared" si="2"/>
        <v>0</v>
      </c>
      <c r="I25" s="34">
        <f t="shared" si="3"/>
        <v>58</v>
      </c>
      <c r="J25" s="34">
        <v>10</v>
      </c>
      <c r="K25" s="34">
        <f t="shared" si="4"/>
        <v>9</v>
      </c>
      <c r="L25" s="35">
        <f t="shared" si="5"/>
        <v>0.89930555555555558</v>
      </c>
      <c r="M25" s="34">
        <v>8</v>
      </c>
      <c r="N25" s="34">
        <v>507</v>
      </c>
      <c r="O25" s="35">
        <f t="shared" si="6"/>
        <v>0.88020833333333337</v>
      </c>
    </row>
    <row r="26" spans="1:15" ht="16">
      <c r="A26" s="41">
        <v>45748</v>
      </c>
      <c r="B26" s="2" t="s">
        <v>68</v>
      </c>
      <c r="C26" s="34">
        <v>0</v>
      </c>
      <c r="D26" s="34">
        <v>457</v>
      </c>
      <c r="E26" s="34">
        <f t="shared" si="0"/>
        <v>457</v>
      </c>
      <c r="F26" s="34">
        <v>508</v>
      </c>
      <c r="G26" s="34">
        <f t="shared" si="1"/>
        <v>457</v>
      </c>
      <c r="H26" s="34">
        <f t="shared" si="2"/>
        <v>0</v>
      </c>
      <c r="I26" s="34">
        <f t="shared" si="3"/>
        <v>51</v>
      </c>
      <c r="J26" s="34">
        <v>8</v>
      </c>
      <c r="K26" s="34">
        <f t="shared" si="4"/>
        <v>7</v>
      </c>
      <c r="L26" s="35">
        <f t="shared" si="5"/>
        <v>0.89960629921259838</v>
      </c>
      <c r="M26" s="34">
        <v>6</v>
      </c>
      <c r="N26" s="34">
        <v>452</v>
      </c>
      <c r="O26" s="35">
        <f t="shared" si="6"/>
        <v>0.88976377952755903</v>
      </c>
    </row>
    <row r="27" spans="1:15" ht="16">
      <c r="A27" s="41">
        <v>45748</v>
      </c>
      <c r="B27" s="2" t="s">
        <v>69</v>
      </c>
      <c r="C27" s="34">
        <v>0</v>
      </c>
      <c r="D27" s="34">
        <v>737</v>
      </c>
      <c r="E27" s="34">
        <f t="shared" si="0"/>
        <v>737</v>
      </c>
      <c r="F27" s="34">
        <v>819</v>
      </c>
      <c r="G27" s="34">
        <f t="shared" si="1"/>
        <v>737</v>
      </c>
      <c r="H27" s="34">
        <f t="shared" si="2"/>
        <v>0</v>
      </c>
      <c r="I27" s="34">
        <f t="shared" si="3"/>
        <v>82</v>
      </c>
      <c r="J27" s="34">
        <v>14</v>
      </c>
      <c r="K27" s="34">
        <f t="shared" si="4"/>
        <v>12</v>
      </c>
      <c r="L27" s="35">
        <f t="shared" si="5"/>
        <v>0.8998778998778999</v>
      </c>
      <c r="M27" s="34">
        <v>11</v>
      </c>
      <c r="N27" s="34">
        <v>737</v>
      </c>
      <c r="O27" s="35">
        <f t="shared" si="6"/>
        <v>0.8998778998778999</v>
      </c>
    </row>
    <row r="28" spans="1:15" ht="16">
      <c r="A28" s="41">
        <v>45778</v>
      </c>
      <c r="B28" s="2" t="s">
        <v>64</v>
      </c>
      <c r="C28" s="34">
        <v>0</v>
      </c>
      <c r="D28" s="34">
        <v>778</v>
      </c>
      <c r="E28" s="34">
        <f t="shared" si="0"/>
        <v>778</v>
      </c>
      <c r="F28" s="34">
        <v>864</v>
      </c>
      <c r="G28" s="34">
        <f t="shared" si="1"/>
        <v>778</v>
      </c>
      <c r="H28" s="34">
        <f t="shared" si="2"/>
        <v>0</v>
      </c>
      <c r="I28" s="34">
        <f t="shared" si="3"/>
        <v>86</v>
      </c>
      <c r="J28" s="34">
        <v>14</v>
      </c>
      <c r="K28" s="34">
        <f t="shared" si="4"/>
        <v>12</v>
      </c>
      <c r="L28" s="35">
        <f t="shared" si="5"/>
        <v>0.90046296296296291</v>
      </c>
      <c r="M28" s="34">
        <v>11</v>
      </c>
      <c r="N28" s="34">
        <v>743</v>
      </c>
      <c r="O28" s="35">
        <f t="shared" si="6"/>
        <v>0.85995370370370372</v>
      </c>
    </row>
    <row r="29" spans="1:15" ht="16">
      <c r="A29" s="41">
        <v>45778</v>
      </c>
      <c r="B29" s="2" t="s">
        <v>65</v>
      </c>
      <c r="C29" s="34">
        <v>0</v>
      </c>
      <c r="D29" s="34">
        <v>609</v>
      </c>
      <c r="E29" s="34">
        <f t="shared" si="0"/>
        <v>609</v>
      </c>
      <c r="F29" s="34">
        <v>677</v>
      </c>
      <c r="G29" s="34">
        <f t="shared" si="1"/>
        <v>609</v>
      </c>
      <c r="H29" s="34">
        <f t="shared" si="2"/>
        <v>0</v>
      </c>
      <c r="I29" s="34">
        <f t="shared" si="3"/>
        <v>68</v>
      </c>
      <c r="J29" s="34">
        <v>11</v>
      </c>
      <c r="K29" s="34">
        <f t="shared" si="4"/>
        <v>9</v>
      </c>
      <c r="L29" s="35">
        <f t="shared" si="5"/>
        <v>0.89955686853766614</v>
      </c>
      <c r="M29" s="34">
        <v>8</v>
      </c>
      <c r="N29" s="34">
        <v>589</v>
      </c>
      <c r="O29" s="35">
        <f t="shared" si="6"/>
        <v>0.87001477104874447</v>
      </c>
    </row>
    <row r="30" spans="1:15" ht="16">
      <c r="A30" s="41">
        <v>45778</v>
      </c>
      <c r="B30" s="2" t="s">
        <v>66</v>
      </c>
      <c r="C30" s="34">
        <v>0</v>
      </c>
      <c r="D30" s="34">
        <v>624</v>
      </c>
      <c r="E30" s="34">
        <f t="shared" si="0"/>
        <v>624</v>
      </c>
      <c r="F30" s="34">
        <v>693</v>
      </c>
      <c r="G30" s="34">
        <f t="shared" si="1"/>
        <v>624</v>
      </c>
      <c r="H30" s="34">
        <f t="shared" si="2"/>
        <v>0</v>
      </c>
      <c r="I30" s="34">
        <f t="shared" si="3"/>
        <v>69</v>
      </c>
      <c r="J30" s="34">
        <v>12</v>
      </c>
      <c r="K30" s="34">
        <f t="shared" si="4"/>
        <v>10</v>
      </c>
      <c r="L30" s="35">
        <f t="shared" si="5"/>
        <v>0.90043290043290047</v>
      </c>
      <c r="M30" s="34">
        <v>9</v>
      </c>
      <c r="N30" s="34">
        <v>610</v>
      </c>
      <c r="O30" s="35">
        <f t="shared" si="6"/>
        <v>0.88023088023088025</v>
      </c>
    </row>
    <row r="31" spans="1:15" ht="16">
      <c r="A31" s="41">
        <v>45778</v>
      </c>
      <c r="B31" s="2" t="s">
        <v>67</v>
      </c>
      <c r="C31" s="34">
        <v>0</v>
      </c>
      <c r="D31" s="34">
        <v>556</v>
      </c>
      <c r="E31" s="34">
        <f t="shared" si="0"/>
        <v>556</v>
      </c>
      <c r="F31" s="34">
        <v>618</v>
      </c>
      <c r="G31" s="34">
        <f t="shared" si="1"/>
        <v>556</v>
      </c>
      <c r="H31" s="34">
        <f t="shared" si="2"/>
        <v>0</v>
      </c>
      <c r="I31" s="34">
        <f t="shared" si="3"/>
        <v>62</v>
      </c>
      <c r="J31" s="34">
        <v>10</v>
      </c>
      <c r="K31" s="34">
        <f t="shared" si="4"/>
        <v>8</v>
      </c>
      <c r="L31" s="35">
        <f t="shared" si="5"/>
        <v>0.89967637540453071</v>
      </c>
      <c r="M31" s="34">
        <v>7</v>
      </c>
      <c r="N31" s="34">
        <v>550</v>
      </c>
      <c r="O31" s="35">
        <f t="shared" si="6"/>
        <v>0.88996763754045305</v>
      </c>
    </row>
    <row r="32" spans="1:15" ht="16">
      <c r="A32" s="41">
        <v>45778</v>
      </c>
      <c r="B32" s="2" t="s">
        <v>68</v>
      </c>
      <c r="C32" s="34">
        <v>0</v>
      </c>
      <c r="D32" s="34">
        <v>491</v>
      </c>
      <c r="E32" s="34">
        <f t="shared" si="0"/>
        <v>491</v>
      </c>
      <c r="F32" s="34">
        <v>545</v>
      </c>
      <c r="G32" s="34">
        <f t="shared" si="1"/>
        <v>491</v>
      </c>
      <c r="H32" s="34">
        <f t="shared" si="2"/>
        <v>0</v>
      </c>
      <c r="I32" s="34">
        <f t="shared" si="3"/>
        <v>54</v>
      </c>
      <c r="J32" s="34">
        <v>9</v>
      </c>
      <c r="K32" s="34">
        <f t="shared" si="4"/>
        <v>8</v>
      </c>
      <c r="L32" s="35">
        <f t="shared" si="5"/>
        <v>0.90091743119266054</v>
      </c>
      <c r="M32" s="34">
        <v>7</v>
      </c>
      <c r="N32" s="34">
        <v>490</v>
      </c>
      <c r="O32" s="35">
        <f t="shared" si="6"/>
        <v>0.89908256880733939</v>
      </c>
    </row>
    <row r="33" spans="1:15" ht="16">
      <c r="A33" s="41">
        <v>45778</v>
      </c>
      <c r="B33" s="2" t="s">
        <v>69</v>
      </c>
      <c r="C33" s="34">
        <v>0</v>
      </c>
      <c r="D33" s="34">
        <v>695</v>
      </c>
      <c r="E33" s="34">
        <f t="shared" si="0"/>
        <v>695</v>
      </c>
      <c r="F33" s="34">
        <v>772</v>
      </c>
      <c r="G33" s="34">
        <f t="shared" si="1"/>
        <v>695</v>
      </c>
      <c r="H33" s="34">
        <f t="shared" si="2"/>
        <v>0</v>
      </c>
      <c r="I33" s="34">
        <f t="shared" si="3"/>
        <v>77</v>
      </c>
      <c r="J33" s="34">
        <v>13</v>
      </c>
      <c r="K33" s="34">
        <f t="shared" si="4"/>
        <v>11</v>
      </c>
      <c r="L33" s="35">
        <f t="shared" si="5"/>
        <v>0.90025906735751293</v>
      </c>
      <c r="M33" s="34">
        <v>10</v>
      </c>
      <c r="N33" s="34">
        <v>633</v>
      </c>
      <c r="O33" s="35">
        <f t="shared" si="6"/>
        <v>0.81994818652849744</v>
      </c>
    </row>
    <row r="34" spans="1:15" ht="16">
      <c r="A34" s="41">
        <v>45809</v>
      </c>
      <c r="B34" s="2" t="s">
        <v>64</v>
      </c>
      <c r="C34" s="34">
        <v>0</v>
      </c>
      <c r="D34" s="34">
        <v>834</v>
      </c>
      <c r="E34" s="34">
        <f t="shared" si="0"/>
        <v>834</v>
      </c>
      <c r="F34" s="34">
        <v>927</v>
      </c>
      <c r="G34" s="34">
        <f t="shared" si="1"/>
        <v>834</v>
      </c>
      <c r="H34" s="34">
        <f t="shared" si="2"/>
        <v>0</v>
      </c>
      <c r="I34" s="34">
        <f t="shared" si="3"/>
        <v>93</v>
      </c>
      <c r="J34" s="34">
        <v>15</v>
      </c>
      <c r="K34" s="34">
        <f t="shared" si="4"/>
        <v>13</v>
      </c>
      <c r="L34" s="35">
        <f t="shared" si="5"/>
        <v>0.89967637540453071</v>
      </c>
      <c r="M34" s="34">
        <v>11</v>
      </c>
      <c r="N34" s="34">
        <v>806</v>
      </c>
      <c r="O34" s="35">
        <f t="shared" si="6"/>
        <v>0.86947141316073351</v>
      </c>
    </row>
    <row r="35" spans="1:15" ht="16">
      <c r="A35" s="41">
        <v>45809</v>
      </c>
      <c r="B35" s="2" t="s">
        <v>65</v>
      </c>
      <c r="C35" s="34">
        <v>0</v>
      </c>
      <c r="D35" s="34">
        <v>654</v>
      </c>
      <c r="E35" s="34">
        <f t="shared" si="0"/>
        <v>654</v>
      </c>
      <c r="F35" s="34">
        <v>727</v>
      </c>
      <c r="G35" s="34">
        <f t="shared" si="1"/>
        <v>654</v>
      </c>
      <c r="H35" s="34">
        <f t="shared" si="2"/>
        <v>0</v>
      </c>
      <c r="I35" s="34">
        <f t="shared" si="3"/>
        <v>73</v>
      </c>
      <c r="J35" s="34">
        <v>12</v>
      </c>
      <c r="K35" s="34">
        <f t="shared" si="4"/>
        <v>10</v>
      </c>
      <c r="L35" s="35">
        <f t="shared" si="5"/>
        <v>0.89958734525447037</v>
      </c>
      <c r="M35" s="34">
        <v>9</v>
      </c>
      <c r="N35" s="34">
        <v>640</v>
      </c>
      <c r="O35" s="35">
        <f t="shared" si="6"/>
        <v>0.88033012379642361</v>
      </c>
    </row>
    <row r="36" spans="1:15" ht="16">
      <c r="A36" s="41">
        <v>45809</v>
      </c>
      <c r="B36" s="2" t="s">
        <v>66</v>
      </c>
      <c r="C36" s="34">
        <v>0</v>
      </c>
      <c r="D36" s="34">
        <v>588</v>
      </c>
      <c r="E36" s="34">
        <f t="shared" ref="E36:E67" si="7">C36+D36</f>
        <v>588</v>
      </c>
      <c r="F36" s="34">
        <v>653</v>
      </c>
      <c r="G36" s="34">
        <f t="shared" ref="G36:G67" si="8">MIN(E36,F36)</f>
        <v>588</v>
      </c>
      <c r="H36" s="34">
        <f t="shared" ref="H36:H67" si="9">E36-G36</f>
        <v>0</v>
      </c>
      <c r="I36" s="34">
        <f t="shared" ref="I36:I67" si="10">MAX(0,F36-G36)</f>
        <v>65</v>
      </c>
      <c r="J36" s="34">
        <v>11</v>
      </c>
      <c r="K36" s="34">
        <f t="shared" ref="K36:K67" si="11">MAX(0,J36-ROUNDUP(I36/60,0))</f>
        <v>9</v>
      </c>
      <c r="L36" s="35">
        <f t="shared" ref="L36:L67" si="12">IFERROR(G36/F36,0)</f>
        <v>0.90045941807044405</v>
      </c>
      <c r="M36" s="34">
        <v>8</v>
      </c>
      <c r="N36" s="34">
        <v>581</v>
      </c>
      <c r="O36" s="35">
        <f t="shared" ref="O36:O67" si="13">IFERROR(1-ABS(N36-F36)/F36,0)</f>
        <v>0.88973966309341501</v>
      </c>
    </row>
    <row r="37" spans="1:15" ht="16">
      <c r="A37" s="41">
        <v>45809</v>
      </c>
      <c r="B37" s="2" t="s">
        <v>67</v>
      </c>
      <c r="C37" s="34">
        <v>0</v>
      </c>
      <c r="D37" s="34">
        <v>524</v>
      </c>
      <c r="E37" s="34">
        <f t="shared" si="7"/>
        <v>524</v>
      </c>
      <c r="F37" s="34">
        <v>582</v>
      </c>
      <c r="G37" s="34">
        <f t="shared" si="8"/>
        <v>524</v>
      </c>
      <c r="H37" s="34">
        <f t="shared" si="9"/>
        <v>0</v>
      </c>
      <c r="I37" s="34">
        <f t="shared" si="10"/>
        <v>58</v>
      </c>
      <c r="J37" s="34">
        <v>10</v>
      </c>
      <c r="K37" s="34">
        <f t="shared" si="11"/>
        <v>9</v>
      </c>
      <c r="L37" s="35">
        <f t="shared" si="12"/>
        <v>0.90034364261168387</v>
      </c>
      <c r="M37" s="34">
        <v>8</v>
      </c>
      <c r="N37" s="34">
        <v>524</v>
      </c>
      <c r="O37" s="35">
        <f t="shared" si="13"/>
        <v>0.90034364261168387</v>
      </c>
    </row>
    <row r="38" spans="1:15" ht="16">
      <c r="A38" s="41">
        <v>45809</v>
      </c>
      <c r="B38" s="2" t="s">
        <v>68</v>
      </c>
      <c r="C38" s="34">
        <v>0</v>
      </c>
      <c r="D38" s="34">
        <v>462</v>
      </c>
      <c r="E38" s="34">
        <f t="shared" si="7"/>
        <v>462</v>
      </c>
      <c r="F38" s="34">
        <v>513</v>
      </c>
      <c r="G38" s="34">
        <f t="shared" si="8"/>
        <v>462</v>
      </c>
      <c r="H38" s="34">
        <f t="shared" si="9"/>
        <v>0</v>
      </c>
      <c r="I38" s="34">
        <f t="shared" si="10"/>
        <v>51</v>
      </c>
      <c r="J38" s="34">
        <v>9</v>
      </c>
      <c r="K38" s="34">
        <f t="shared" si="11"/>
        <v>8</v>
      </c>
      <c r="L38" s="35">
        <f t="shared" si="12"/>
        <v>0.90058479532163738</v>
      </c>
      <c r="M38" s="34">
        <v>7</v>
      </c>
      <c r="N38" s="34">
        <v>421</v>
      </c>
      <c r="O38" s="35">
        <f t="shared" si="13"/>
        <v>0.82066276803118909</v>
      </c>
    </row>
    <row r="39" spans="1:15" ht="16">
      <c r="A39" s="41">
        <v>45809</v>
      </c>
      <c r="B39" s="2" t="s">
        <v>69</v>
      </c>
      <c r="C39" s="34">
        <v>0</v>
      </c>
      <c r="D39" s="34">
        <v>744</v>
      </c>
      <c r="E39" s="34">
        <f t="shared" si="7"/>
        <v>744</v>
      </c>
      <c r="F39" s="34">
        <v>827</v>
      </c>
      <c r="G39" s="34">
        <f t="shared" si="8"/>
        <v>744</v>
      </c>
      <c r="H39" s="34">
        <f t="shared" si="9"/>
        <v>0</v>
      </c>
      <c r="I39" s="34">
        <f t="shared" si="10"/>
        <v>83</v>
      </c>
      <c r="J39" s="34">
        <v>14</v>
      </c>
      <c r="K39" s="34">
        <f t="shared" si="11"/>
        <v>12</v>
      </c>
      <c r="L39" s="35">
        <f t="shared" si="12"/>
        <v>0.89963724304715842</v>
      </c>
      <c r="M39" s="34">
        <v>11</v>
      </c>
      <c r="N39" s="34">
        <v>686</v>
      </c>
      <c r="O39" s="35">
        <f t="shared" si="13"/>
        <v>0.8295042321644498</v>
      </c>
    </row>
    <row r="40" spans="1:15" ht="16">
      <c r="A40" s="41">
        <v>45839</v>
      </c>
      <c r="B40" s="2" t="s">
        <v>64</v>
      </c>
      <c r="C40" s="34">
        <v>0</v>
      </c>
      <c r="D40" s="34">
        <v>3071</v>
      </c>
      <c r="E40" s="34">
        <f t="shared" si="7"/>
        <v>3071</v>
      </c>
      <c r="F40" s="34">
        <v>1091</v>
      </c>
      <c r="G40" s="34">
        <f t="shared" si="8"/>
        <v>1091</v>
      </c>
      <c r="H40" s="34">
        <f t="shared" si="9"/>
        <v>1980</v>
      </c>
      <c r="I40" s="34">
        <f t="shared" si="10"/>
        <v>0</v>
      </c>
      <c r="J40" s="34">
        <v>18</v>
      </c>
      <c r="K40" s="34">
        <f t="shared" si="11"/>
        <v>18</v>
      </c>
      <c r="L40" s="35">
        <f t="shared" si="12"/>
        <v>1</v>
      </c>
      <c r="M40" s="34">
        <v>17</v>
      </c>
      <c r="N40" s="34">
        <v>1113</v>
      </c>
      <c r="O40" s="35">
        <f t="shared" si="13"/>
        <v>0.97983501374885429</v>
      </c>
    </row>
    <row r="41" spans="1:15" ht="16">
      <c r="A41" s="41">
        <v>45839</v>
      </c>
      <c r="B41" s="2" t="s">
        <v>65</v>
      </c>
      <c r="C41" s="34">
        <v>0</v>
      </c>
      <c r="D41" s="34">
        <v>2439</v>
      </c>
      <c r="E41" s="34">
        <f t="shared" si="7"/>
        <v>2439</v>
      </c>
      <c r="F41" s="34">
        <v>855</v>
      </c>
      <c r="G41" s="34">
        <f t="shared" si="8"/>
        <v>855</v>
      </c>
      <c r="H41" s="34">
        <f t="shared" si="9"/>
        <v>1584</v>
      </c>
      <c r="I41" s="34">
        <f t="shared" si="10"/>
        <v>0</v>
      </c>
      <c r="J41" s="34">
        <v>14</v>
      </c>
      <c r="K41" s="34">
        <f t="shared" si="11"/>
        <v>14</v>
      </c>
      <c r="L41" s="35">
        <f t="shared" si="12"/>
        <v>1</v>
      </c>
      <c r="M41" s="34">
        <v>14</v>
      </c>
      <c r="N41" s="34">
        <v>821</v>
      </c>
      <c r="O41" s="35">
        <f t="shared" si="13"/>
        <v>0.960233918128655</v>
      </c>
    </row>
    <row r="42" spans="1:15" ht="16">
      <c r="A42" s="41">
        <v>45839</v>
      </c>
      <c r="B42" s="2" t="s">
        <v>66</v>
      </c>
      <c r="C42" s="34">
        <v>0</v>
      </c>
      <c r="D42" s="34">
        <v>2327</v>
      </c>
      <c r="E42" s="34">
        <f t="shared" si="7"/>
        <v>2327</v>
      </c>
      <c r="F42" s="34">
        <v>875</v>
      </c>
      <c r="G42" s="34">
        <f t="shared" si="8"/>
        <v>875</v>
      </c>
      <c r="H42" s="34">
        <f t="shared" si="9"/>
        <v>1452</v>
      </c>
      <c r="I42" s="34">
        <f t="shared" si="10"/>
        <v>0</v>
      </c>
      <c r="J42" s="34">
        <v>15</v>
      </c>
      <c r="K42" s="34">
        <f t="shared" si="11"/>
        <v>15</v>
      </c>
      <c r="L42" s="35">
        <f t="shared" si="12"/>
        <v>1</v>
      </c>
      <c r="M42" s="34">
        <v>15</v>
      </c>
      <c r="N42" s="34">
        <v>849</v>
      </c>
      <c r="O42" s="35">
        <f t="shared" si="13"/>
        <v>0.97028571428571431</v>
      </c>
    </row>
    <row r="43" spans="1:15" ht="16">
      <c r="A43" s="41">
        <v>45839</v>
      </c>
      <c r="B43" s="2" t="s">
        <v>67</v>
      </c>
      <c r="C43" s="34">
        <v>0</v>
      </c>
      <c r="D43" s="34">
        <v>2100</v>
      </c>
      <c r="E43" s="34">
        <f t="shared" si="7"/>
        <v>2100</v>
      </c>
      <c r="F43" s="34">
        <v>780</v>
      </c>
      <c r="G43" s="34">
        <f t="shared" si="8"/>
        <v>780</v>
      </c>
      <c r="H43" s="34">
        <f t="shared" si="9"/>
        <v>1320</v>
      </c>
      <c r="I43" s="34">
        <f t="shared" si="10"/>
        <v>0</v>
      </c>
      <c r="J43" s="34">
        <v>13</v>
      </c>
      <c r="K43" s="34">
        <f t="shared" si="11"/>
        <v>13</v>
      </c>
      <c r="L43" s="35">
        <f t="shared" si="12"/>
        <v>1</v>
      </c>
      <c r="M43" s="34">
        <v>13</v>
      </c>
      <c r="N43" s="34">
        <v>764</v>
      </c>
      <c r="O43" s="35">
        <f t="shared" si="13"/>
        <v>0.97948717948717945</v>
      </c>
    </row>
    <row r="44" spans="1:15" ht="16">
      <c r="A44" s="41">
        <v>45839</v>
      </c>
      <c r="B44" s="2" t="s">
        <v>68</v>
      </c>
      <c r="C44" s="34">
        <v>0</v>
      </c>
      <c r="D44" s="34">
        <v>1877</v>
      </c>
      <c r="E44" s="34">
        <f t="shared" si="7"/>
        <v>1877</v>
      </c>
      <c r="F44" s="34">
        <v>689</v>
      </c>
      <c r="G44" s="34">
        <f t="shared" si="8"/>
        <v>689</v>
      </c>
      <c r="H44" s="34">
        <f t="shared" si="9"/>
        <v>1188</v>
      </c>
      <c r="I44" s="34">
        <f t="shared" si="10"/>
        <v>0</v>
      </c>
      <c r="J44" s="34">
        <v>11</v>
      </c>
      <c r="K44" s="34">
        <f t="shared" si="11"/>
        <v>11</v>
      </c>
      <c r="L44" s="35">
        <f t="shared" si="12"/>
        <v>1</v>
      </c>
      <c r="M44" s="34">
        <v>11</v>
      </c>
      <c r="N44" s="34">
        <v>682</v>
      </c>
      <c r="O44" s="35">
        <f t="shared" si="13"/>
        <v>0.98984034833091439</v>
      </c>
    </row>
    <row r="45" spans="1:15" ht="16">
      <c r="A45" s="41">
        <v>45839</v>
      </c>
      <c r="B45" s="2" t="s">
        <v>69</v>
      </c>
      <c r="C45" s="34">
        <v>0</v>
      </c>
      <c r="D45" s="34">
        <v>2691</v>
      </c>
      <c r="E45" s="34">
        <f t="shared" si="7"/>
        <v>2691</v>
      </c>
      <c r="F45" s="34">
        <v>975</v>
      </c>
      <c r="G45" s="34">
        <f t="shared" si="8"/>
        <v>975</v>
      </c>
      <c r="H45" s="34">
        <f t="shared" si="9"/>
        <v>1716</v>
      </c>
      <c r="I45" s="34">
        <f t="shared" si="10"/>
        <v>0</v>
      </c>
      <c r="J45" s="34">
        <v>16</v>
      </c>
      <c r="K45" s="34">
        <f t="shared" si="11"/>
        <v>16</v>
      </c>
      <c r="L45" s="35">
        <f t="shared" si="12"/>
        <v>1</v>
      </c>
      <c r="M45" s="34">
        <v>16</v>
      </c>
      <c r="N45" s="34">
        <v>975</v>
      </c>
      <c r="O45" s="35">
        <f t="shared" si="13"/>
        <v>1</v>
      </c>
    </row>
    <row r="46" spans="1:15" ht="16">
      <c r="A46" s="41">
        <v>45870</v>
      </c>
      <c r="B46" s="2" t="s">
        <v>64</v>
      </c>
      <c r="C46" s="34">
        <v>1980</v>
      </c>
      <c r="D46" s="34">
        <v>306</v>
      </c>
      <c r="E46" s="34">
        <f t="shared" si="7"/>
        <v>2286</v>
      </c>
      <c r="F46" s="34">
        <v>936</v>
      </c>
      <c r="G46" s="34">
        <f t="shared" si="8"/>
        <v>936</v>
      </c>
      <c r="H46" s="34">
        <f t="shared" si="9"/>
        <v>1350</v>
      </c>
      <c r="I46" s="34">
        <f t="shared" si="10"/>
        <v>0</v>
      </c>
      <c r="J46" s="34">
        <v>16</v>
      </c>
      <c r="K46" s="34">
        <f t="shared" si="11"/>
        <v>16</v>
      </c>
      <c r="L46" s="35">
        <f t="shared" si="12"/>
        <v>1</v>
      </c>
      <c r="M46" s="34">
        <v>16</v>
      </c>
      <c r="N46" s="34">
        <v>899</v>
      </c>
      <c r="O46" s="35">
        <f t="shared" si="13"/>
        <v>0.9604700854700855</v>
      </c>
    </row>
    <row r="47" spans="1:15" ht="16">
      <c r="A47" s="41">
        <v>45870</v>
      </c>
      <c r="B47" s="2" t="s">
        <v>65</v>
      </c>
      <c r="C47" s="34">
        <v>1584</v>
      </c>
      <c r="D47" s="34">
        <v>230</v>
      </c>
      <c r="E47" s="34">
        <f t="shared" si="7"/>
        <v>1814</v>
      </c>
      <c r="F47" s="34">
        <v>734</v>
      </c>
      <c r="G47" s="34">
        <f t="shared" si="8"/>
        <v>734</v>
      </c>
      <c r="H47" s="34">
        <f t="shared" si="9"/>
        <v>1080</v>
      </c>
      <c r="I47" s="34">
        <f t="shared" si="10"/>
        <v>0</v>
      </c>
      <c r="J47" s="34">
        <v>12</v>
      </c>
      <c r="K47" s="34">
        <f t="shared" si="11"/>
        <v>12</v>
      </c>
      <c r="L47" s="35">
        <f t="shared" si="12"/>
        <v>1</v>
      </c>
      <c r="M47" s="34">
        <v>12</v>
      </c>
      <c r="N47" s="34">
        <v>712</v>
      </c>
      <c r="O47" s="35">
        <f t="shared" si="13"/>
        <v>0.97002724795640327</v>
      </c>
    </row>
    <row r="48" spans="1:15" ht="16">
      <c r="A48" s="41">
        <v>45870</v>
      </c>
      <c r="B48" s="2" t="s">
        <v>66</v>
      </c>
      <c r="C48" s="34">
        <v>1452</v>
      </c>
      <c r="D48" s="34">
        <v>198</v>
      </c>
      <c r="E48" s="34">
        <f t="shared" si="7"/>
        <v>1650</v>
      </c>
      <c r="F48" s="34">
        <v>660</v>
      </c>
      <c r="G48" s="34">
        <f t="shared" si="8"/>
        <v>660</v>
      </c>
      <c r="H48" s="34">
        <f t="shared" si="9"/>
        <v>990</v>
      </c>
      <c r="I48" s="34">
        <f t="shared" si="10"/>
        <v>0</v>
      </c>
      <c r="J48" s="34">
        <v>11</v>
      </c>
      <c r="K48" s="34">
        <f t="shared" si="11"/>
        <v>11</v>
      </c>
      <c r="L48" s="35">
        <f t="shared" si="12"/>
        <v>1</v>
      </c>
      <c r="M48" s="34">
        <v>11</v>
      </c>
      <c r="N48" s="34">
        <v>647</v>
      </c>
      <c r="O48" s="35">
        <f t="shared" si="13"/>
        <v>0.98030303030303034</v>
      </c>
    </row>
    <row r="49" spans="1:15" ht="16">
      <c r="A49" s="41">
        <v>45870</v>
      </c>
      <c r="B49" s="2" t="s">
        <v>67</v>
      </c>
      <c r="C49" s="34">
        <v>1320</v>
      </c>
      <c r="D49" s="34">
        <v>168</v>
      </c>
      <c r="E49" s="34">
        <f t="shared" si="7"/>
        <v>1488</v>
      </c>
      <c r="F49" s="34">
        <v>588</v>
      </c>
      <c r="G49" s="34">
        <f t="shared" si="8"/>
        <v>588</v>
      </c>
      <c r="H49" s="34">
        <f t="shared" si="9"/>
        <v>900</v>
      </c>
      <c r="I49" s="34">
        <f t="shared" si="10"/>
        <v>0</v>
      </c>
      <c r="J49" s="34">
        <v>10</v>
      </c>
      <c r="K49" s="34">
        <f t="shared" si="11"/>
        <v>10</v>
      </c>
      <c r="L49" s="35">
        <f t="shared" si="12"/>
        <v>1</v>
      </c>
      <c r="M49" s="34">
        <v>10</v>
      </c>
      <c r="N49" s="34">
        <v>582</v>
      </c>
      <c r="O49" s="35">
        <f t="shared" si="13"/>
        <v>0.98979591836734693</v>
      </c>
    </row>
    <row r="50" spans="1:15" ht="16">
      <c r="A50" s="41">
        <v>45870</v>
      </c>
      <c r="B50" s="2" t="s">
        <v>68</v>
      </c>
      <c r="C50" s="34">
        <v>1188</v>
      </c>
      <c r="D50" s="34">
        <v>140</v>
      </c>
      <c r="E50" s="34">
        <f t="shared" si="7"/>
        <v>1328</v>
      </c>
      <c r="F50" s="34">
        <v>518</v>
      </c>
      <c r="G50" s="34">
        <f t="shared" si="8"/>
        <v>518</v>
      </c>
      <c r="H50" s="34">
        <f t="shared" si="9"/>
        <v>810</v>
      </c>
      <c r="I50" s="34">
        <f t="shared" si="10"/>
        <v>0</v>
      </c>
      <c r="J50" s="34">
        <v>9</v>
      </c>
      <c r="K50" s="34">
        <f t="shared" si="11"/>
        <v>9</v>
      </c>
      <c r="L50" s="35">
        <f t="shared" si="12"/>
        <v>1</v>
      </c>
      <c r="M50" s="34">
        <v>9</v>
      </c>
      <c r="N50" s="34">
        <v>518</v>
      </c>
      <c r="O50" s="35">
        <f t="shared" si="13"/>
        <v>1</v>
      </c>
    </row>
    <row r="51" spans="1:15" ht="16">
      <c r="A51" s="41">
        <v>45870</v>
      </c>
      <c r="B51" s="2" t="s">
        <v>69</v>
      </c>
      <c r="C51" s="34">
        <v>1716</v>
      </c>
      <c r="D51" s="34">
        <v>187</v>
      </c>
      <c r="E51" s="34">
        <f t="shared" si="7"/>
        <v>1903</v>
      </c>
      <c r="F51" s="34">
        <v>733</v>
      </c>
      <c r="G51" s="34">
        <f t="shared" si="8"/>
        <v>733</v>
      </c>
      <c r="H51" s="34">
        <f t="shared" si="9"/>
        <v>1170</v>
      </c>
      <c r="I51" s="34">
        <f t="shared" si="10"/>
        <v>0</v>
      </c>
      <c r="J51" s="34">
        <v>12</v>
      </c>
      <c r="K51" s="34">
        <f t="shared" si="11"/>
        <v>12</v>
      </c>
      <c r="L51" s="35">
        <f t="shared" si="12"/>
        <v>1</v>
      </c>
      <c r="M51" s="34">
        <v>12</v>
      </c>
      <c r="N51" s="34">
        <v>740</v>
      </c>
      <c r="O51" s="35">
        <f t="shared" si="13"/>
        <v>0.990450204638472</v>
      </c>
    </row>
    <row r="52" spans="1:15" ht="16">
      <c r="A52" s="41">
        <v>45901</v>
      </c>
      <c r="B52" s="2" t="s">
        <v>64</v>
      </c>
      <c r="C52" s="34">
        <v>1350</v>
      </c>
      <c r="D52" s="34">
        <v>882</v>
      </c>
      <c r="E52" s="34">
        <f t="shared" si="7"/>
        <v>2232</v>
      </c>
      <c r="F52" s="34">
        <v>882</v>
      </c>
      <c r="G52" s="34">
        <f t="shared" si="8"/>
        <v>882</v>
      </c>
      <c r="H52" s="34">
        <f t="shared" si="9"/>
        <v>1350</v>
      </c>
      <c r="I52" s="34">
        <f t="shared" si="10"/>
        <v>0</v>
      </c>
      <c r="J52" s="34">
        <v>15</v>
      </c>
      <c r="K52" s="34">
        <f t="shared" si="11"/>
        <v>15</v>
      </c>
      <c r="L52" s="35">
        <f t="shared" si="12"/>
        <v>1</v>
      </c>
      <c r="M52" s="34">
        <v>15</v>
      </c>
      <c r="N52" s="34">
        <v>856</v>
      </c>
      <c r="O52" s="35">
        <f t="shared" si="13"/>
        <v>0.97052154195011342</v>
      </c>
    </row>
    <row r="53" spans="1:15" ht="16">
      <c r="A53" s="41">
        <v>45901</v>
      </c>
      <c r="B53" s="2" t="s">
        <v>65</v>
      </c>
      <c r="C53" s="34">
        <v>1080</v>
      </c>
      <c r="D53" s="34">
        <v>691</v>
      </c>
      <c r="E53" s="34">
        <f t="shared" si="7"/>
        <v>1771</v>
      </c>
      <c r="F53" s="34">
        <v>691</v>
      </c>
      <c r="G53" s="34">
        <f t="shared" si="8"/>
        <v>691</v>
      </c>
      <c r="H53" s="34">
        <f t="shared" si="9"/>
        <v>1080</v>
      </c>
      <c r="I53" s="34">
        <f t="shared" si="10"/>
        <v>0</v>
      </c>
      <c r="J53" s="34">
        <v>12</v>
      </c>
      <c r="K53" s="34">
        <f t="shared" si="11"/>
        <v>12</v>
      </c>
      <c r="L53" s="35">
        <f t="shared" si="12"/>
        <v>1</v>
      </c>
      <c r="M53" s="34">
        <v>12</v>
      </c>
      <c r="N53" s="34">
        <v>677</v>
      </c>
      <c r="O53" s="35">
        <f t="shared" si="13"/>
        <v>0.97973950795947906</v>
      </c>
    </row>
    <row r="54" spans="1:15" ht="16">
      <c r="A54" s="41">
        <v>45901</v>
      </c>
      <c r="B54" s="2" t="s">
        <v>66</v>
      </c>
      <c r="C54" s="34">
        <v>990</v>
      </c>
      <c r="D54" s="34">
        <v>620</v>
      </c>
      <c r="E54" s="34">
        <f t="shared" si="7"/>
        <v>1610</v>
      </c>
      <c r="F54" s="34">
        <v>620</v>
      </c>
      <c r="G54" s="34">
        <f t="shared" si="8"/>
        <v>620</v>
      </c>
      <c r="H54" s="34">
        <f t="shared" si="9"/>
        <v>990</v>
      </c>
      <c r="I54" s="34">
        <f t="shared" si="10"/>
        <v>0</v>
      </c>
      <c r="J54" s="34">
        <v>10</v>
      </c>
      <c r="K54" s="34">
        <f t="shared" si="11"/>
        <v>10</v>
      </c>
      <c r="L54" s="35">
        <f t="shared" si="12"/>
        <v>1</v>
      </c>
      <c r="M54" s="34">
        <v>10</v>
      </c>
      <c r="N54" s="34">
        <v>614</v>
      </c>
      <c r="O54" s="35">
        <f t="shared" si="13"/>
        <v>0.99032258064516132</v>
      </c>
    </row>
    <row r="55" spans="1:15" ht="16">
      <c r="A55" s="41">
        <v>45901</v>
      </c>
      <c r="B55" s="2" t="s">
        <v>67</v>
      </c>
      <c r="C55" s="34">
        <v>900</v>
      </c>
      <c r="D55" s="34">
        <v>630</v>
      </c>
      <c r="E55" s="34">
        <f t="shared" si="7"/>
        <v>1530</v>
      </c>
      <c r="F55" s="34">
        <v>630</v>
      </c>
      <c r="G55" s="34">
        <f t="shared" si="8"/>
        <v>630</v>
      </c>
      <c r="H55" s="34">
        <f t="shared" si="9"/>
        <v>900</v>
      </c>
      <c r="I55" s="34">
        <f t="shared" si="10"/>
        <v>0</v>
      </c>
      <c r="J55" s="34">
        <v>11</v>
      </c>
      <c r="K55" s="34">
        <f t="shared" si="11"/>
        <v>11</v>
      </c>
      <c r="L55" s="35">
        <f t="shared" si="12"/>
        <v>1</v>
      </c>
      <c r="M55" s="34">
        <v>11</v>
      </c>
      <c r="N55" s="34">
        <v>630</v>
      </c>
      <c r="O55" s="35">
        <f t="shared" si="13"/>
        <v>1</v>
      </c>
    </row>
    <row r="56" spans="1:15" ht="16">
      <c r="A56" s="41">
        <v>45901</v>
      </c>
      <c r="B56" s="2" t="s">
        <v>68</v>
      </c>
      <c r="C56" s="34">
        <v>810</v>
      </c>
      <c r="D56" s="34">
        <v>556</v>
      </c>
      <c r="E56" s="34">
        <f t="shared" si="7"/>
        <v>1366</v>
      </c>
      <c r="F56" s="34">
        <v>556</v>
      </c>
      <c r="G56" s="34">
        <f t="shared" si="8"/>
        <v>556</v>
      </c>
      <c r="H56" s="34">
        <f t="shared" si="9"/>
        <v>810</v>
      </c>
      <c r="I56" s="34">
        <f t="shared" si="10"/>
        <v>0</v>
      </c>
      <c r="J56" s="34">
        <v>9</v>
      </c>
      <c r="K56" s="34">
        <f t="shared" si="11"/>
        <v>9</v>
      </c>
      <c r="L56" s="35">
        <f t="shared" si="12"/>
        <v>1</v>
      </c>
      <c r="M56" s="34">
        <v>9</v>
      </c>
      <c r="N56" s="34">
        <v>562</v>
      </c>
      <c r="O56" s="35">
        <f t="shared" si="13"/>
        <v>0.98920863309352514</v>
      </c>
    </row>
    <row r="57" spans="1:15" ht="16">
      <c r="A57" s="41">
        <v>45901</v>
      </c>
      <c r="B57" s="2" t="s">
        <v>69</v>
      </c>
      <c r="C57" s="34">
        <v>1170</v>
      </c>
      <c r="D57" s="34">
        <v>788</v>
      </c>
      <c r="E57" s="34">
        <f t="shared" si="7"/>
        <v>1958</v>
      </c>
      <c r="F57" s="34">
        <v>788</v>
      </c>
      <c r="G57" s="34">
        <f t="shared" si="8"/>
        <v>788</v>
      </c>
      <c r="H57" s="34">
        <f t="shared" si="9"/>
        <v>1170</v>
      </c>
      <c r="I57" s="34">
        <f t="shared" si="10"/>
        <v>0</v>
      </c>
      <c r="J57" s="34">
        <v>13</v>
      </c>
      <c r="K57" s="34">
        <f t="shared" si="11"/>
        <v>13</v>
      </c>
      <c r="L57" s="35">
        <f t="shared" si="12"/>
        <v>1</v>
      </c>
      <c r="M57" s="34">
        <v>13</v>
      </c>
      <c r="N57" s="34">
        <v>804</v>
      </c>
      <c r="O57" s="35">
        <f t="shared" si="13"/>
        <v>0.97969543147208127</v>
      </c>
    </row>
    <row r="58" spans="1:15" ht="16">
      <c r="A58" s="41">
        <v>45931</v>
      </c>
      <c r="B58" s="2" t="s">
        <v>64</v>
      </c>
      <c r="C58" s="34">
        <v>1350</v>
      </c>
      <c r="D58" s="34">
        <v>945</v>
      </c>
      <c r="E58" s="34">
        <f t="shared" si="7"/>
        <v>2295</v>
      </c>
      <c r="F58" s="34">
        <v>945</v>
      </c>
      <c r="G58" s="34">
        <f t="shared" si="8"/>
        <v>945</v>
      </c>
      <c r="H58" s="34">
        <f t="shared" si="9"/>
        <v>1350</v>
      </c>
      <c r="I58" s="34">
        <f t="shared" si="10"/>
        <v>0</v>
      </c>
      <c r="J58" s="34">
        <v>16</v>
      </c>
      <c r="K58" s="34">
        <f t="shared" si="11"/>
        <v>16</v>
      </c>
      <c r="L58" s="35">
        <f t="shared" si="12"/>
        <v>1</v>
      </c>
      <c r="M58" s="34">
        <v>16</v>
      </c>
      <c r="N58" s="34">
        <v>926</v>
      </c>
      <c r="O58" s="35">
        <f t="shared" si="13"/>
        <v>0.97989417989417993</v>
      </c>
    </row>
    <row r="59" spans="1:15" ht="16">
      <c r="A59" s="41">
        <v>45931</v>
      </c>
      <c r="B59" s="2" t="s">
        <v>65</v>
      </c>
      <c r="C59" s="34">
        <v>1080</v>
      </c>
      <c r="D59" s="34">
        <v>742</v>
      </c>
      <c r="E59" s="34">
        <f t="shared" si="7"/>
        <v>1822</v>
      </c>
      <c r="F59" s="34">
        <v>742</v>
      </c>
      <c r="G59" s="34">
        <f t="shared" si="8"/>
        <v>742</v>
      </c>
      <c r="H59" s="34">
        <f t="shared" si="9"/>
        <v>1080</v>
      </c>
      <c r="I59" s="34">
        <f t="shared" si="10"/>
        <v>0</v>
      </c>
      <c r="J59" s="34">
        <v>12</v>
      </c>
      <c r="K59" s="34">
        <f t="shared" si="11"/>
        <v>12</v>
      </c>
      <c r="L59" s="35">
        <f t="shared" si="12"/>
        <v>1</v>
      </c>
      <c r="M59" s="34">
        <v>12</v>
      </c>
      <c r="N59" s="34">
        <v>735</v>
      </c>
      <c r="O59" s="35">
        <f t="shared" si="13"/>
        <v>0.99056603773584906</v>
      </c>
    </row>
    <row r="60" spans="1:15" ht="16">
      <c r="A60" s="41">
        <v>45931</v>
      </c>
      <c r="B60" s="2" t="s">
        <v>66</v>
      </c>
      <c r="C60" s="34">
        <v>990</v>
      </c>
      <c r="D60" s="34">
        <v>667</v>
      </c>
      <c r="E60" s="34">
        <f t="shared" si="7"/>
        <v>1657</v>
      </c>
      <c r="F60" s="34">
        <v>667</v>
      </c>
      <c r="G60" s="34">
        <f t="shared" si="8"/>
        <v>667</v>
      </c>
      <c r="H60" s="34">
        <f t="shared" si="9"/>
        <v>990</v>
      </c>
      <c r="I60" s="34">
        <f t="shared" si="10"/>
        <v>0</v>
      </c>
      <c r="J60" s="34">
        <v>11</v>
      </c>
      <c r="K60" s="34">
        <f t="shared" si="11"/>
        <v>11</v>
      </c>
      <c r="L60" s="35">
        <f t="shared" si="12"/>
        <v>1</v>
      </c>
      <c r="M60" s="34">
        <v>11</v>
      </c>
      <c r="N60" s="34">
        <v>667</v>
      </c>
      <c r="O60" s="35">
        <f t="shared" si="13"/>
        <v>1</v>
      </c>
    </row>
    <row r="61" spans="1:15" ht="16">
      <c r="A61" s="41">
        <v>45931</v>
      </c>
      <c r="B61" s="2" t="s">
        <v>67</v>
      </c>
      <c r="C61" s="34">
        <v>900</v>
      </c>
      <c r="D61" s="34">
        <v>594</v>
      </c>
      <c r="E61" s="34">
        <f t="shared" si="7"/>
        <v>1494</v>
      </c>
      <c r="F61" s="34">
        <v>594</v>
      </c>
      <c r="G61" s="34">
        <f t="shared" si="8"/>
        <v>594</v>
      </c>
      <c r="H61" s="34">
        <f t="shared" si="9"/>
        <v>900</v>
      </c>
      <c r="I61" s="34">
        <f t="shared" si="10"/>
        <v>0</v>
      </c>
      <c r="J61" s="34">
        <v>10</v>
      </c>
      <c r="K61" s="34">
        <f t="shared" si="11"/>
        <v>10</v>
      </c>
      <c r="L61" s="35">
        <f t="shared" si="12"/>
        <v>1</v>
      </c>
      <c r="M61" s="34">
        <v>10</v>
      </c>
      <c r="N61" s="34">
        <v>600</v>
      </c>
      <c r="O61" s="35">
        <f t="shared" si="13"/>
        <v>0.98989898989898994</v>
      </c>
    </row>
    <row r="62" spans="1:15" ht="16">
      <c r="A62" s="41">
        <v>45931</v>
      </c>
      <c r="B62" s="2" t="s">
        <v>68</v>
      </c>
      <c r="C62" s="34">
        <v>810</v>
      </c>
      <c r="D62" s="34">
        <v>524</v>
      </c>
      <c r="E62" s="34">
        <f t="shared" si="7"/>
        <v>1334</v>
      </c>
      <c r="F62" s="34">
        <v>524</v>
      </c>
      <c r="G62" s="34">
        <f t="shared" si="8"/>
        <v>524</v>
      </c>
      <c r="H62" s="34">
        <f t="shared" si="9"/>
        <v>810</v>
      </c>
      <c r="I62" s="34">
        <f t="shared" si="10"/>
        <v>0</v>
      </c>
      <c r="J62" s="34">
        <v>9</v>
      </c>
      <c r="K62" s="34">
        <f t="shared" si="11"/>
        <v>9</v>
      </c>
      <c r="L62" s="35">
        <f t="shared" si="12"/>
        <v>1</v>
      </c>
      <c r="M62" s="34">
        <v>9</v>
      </c>
      <c r="N62" s="34">
        <v>534</v>
      </c>
      <c r="O62" s="35">
        <f t="shared" si="13"/>
        <v>0.98091603053435117</v>
      </c>
    </row>
    <row r="63" spans="1:15" ht="16">
      <c r="A63" s="41">
        <v>45931</v>
      </c>
      <c r="B63" s="2" t="s">
        <v>69</v>
      </c>
      <c r="C63" s="34">
        <v>1170</v>
      </c>
      <c r="D63" s="34">
        <v>741</v>
      </c>
      <c r="E63" s="34">
        <f t="shared" si="7"/>
        <v>1911</v>
      </c>
      <c r="F63" s="34">
        <v>741</v>
      </c>
      <c r="G63" s="34">
        <f t="shared" si="8"/>
        <v>741</v>
      </c>
      <c r="H63" s="34">
        <f t="shared" si="9"/>
        <v>1170</v>
      </c>
      <c r="I63" s="34">
        <f t="shared" si="10"/>
        <v>0</v>
      </c>
      <c r="J63" s="34">
        <v>12</v>
      </c>
      <c r="K63" s="34">
        <f t="shared" si="11"/>
        <v>12</v>
      </c>
      <c r="L63" s="35">
        <f t="shared" si="12"/>
        <v>1</v>
      </c>
      <c r="M63" s="34">
        <v>12</v>
      </c>
      <c r="N63" s="34">
        <v>711</v>
      </c>
      <c r="O63" s="35">
        <f t="shared" si="13"/>
        <v>0.95951417004048578</v>
      </c>
    </row>
    <row r="64" spans="1:15" ht="16">
      <c r="A64" s="41">
        <v>45962</v>
      </c>
      <c r="B64" s="2" t="s">
        <v>64</v>
      </c>
      <c r="C64" s="34">
        <v>1350</v>
      </c>
      <c r="D64" s="34">
        <v>2189</v>
      </c>
      <c r="E64" s="34">
        <f t="shared" si="7"/>
        <v>3539</v>
      </c>
      <c r="F64" s="34">
        <v>1559</v>
      </c>
      <c r="G64" s="34">
        <f t="shared" si="8"/>
        <v>1559</v>
      </c>
      <c r="H64" s="34">
        <f t="shared" si="9"/>
        <v>1980</v>
      </c>
      <c r="I64" s="34">
        <f t="shared" si="10"/>
        <v>0</v>
      </c>
      <c r="J64" s="34">
        <v>26</v>
      </c>
      <c r="K64" s="34">
        <f t="shared" si="11"/>
        <v>26</v>
      </c>
      <c r="L64" s="35">
        <f t="shared" si="12"/>
        <v>1</v>
      </c>
      <c r="M64" s="34">
        <v>25</v>
      </c>
      <c r="N64" s="34">
        <v>1543</v>
      </c>
      <c r="O64" s="35">
        <f t="shared" si="13"/>
        <v>0.9897370109044259</v>
      </c>
    </row>
    <row r="65" spans="1:15" ht="16">
      <c r="A65" s="41">
        <v>45962</v>
      </c>
      <c r="B65" s="2" t="s">
        <v>65</v>
      </c>
      <c r="C65" s="34">
        <v>1080</v>
      </c>
      <c r="D65" s="34">
        <v>1726</v>
      </c>
      <c r="E65" s="34">
        <f t="shared" si="7"/>
        <v>2806</v>
      </c>
      <c r="F65" s="34">
        <v>1222</v>
      </c>
      <c r="G65" s="34">
        <f t="shared" si="8"/>
        <v>1222</v>
      </c>
      <c r="H65" s="34">
        <f t="shared" si="9"/>
        <v>1584</v>
      </c>
      <c r="I65" s="34">
        <f t="shared" si="10"/>
        <v>0</v>
      </c>
      <c r="J65" s="34">
        <v>20</v>
      </c>
      <c r="K65" s="34">
        <f t="shared" si="11"/>
        <v>20</v>
      </c>
      <c r="L65" s="35">
        <f t="shared" si="12"/>
        <v>1</v>
      </c>
      <c r="M65" s="34">
        <v>19</v>
      </c>
      <c r="N65" s="34">
        <v>1222</v>
      </c>
      <c r="O65" s="35">
        <f t="shared" si="13"/>
        <v>1</v>
      </c>
    </row>
    <row r="66" spans="1:15" ht="16">
      <c r="A66" s="41">
        <v>45962</v>
      </c>
      <c r="B66" s="2" t="s">
        <v>66</v>
      </c>
      <c r="C66" s="34">
        <v>990</v>
      </c>
      <c r="D66" s="34">
        <v>1559</v>
      </c>
      <c r="E66" s="34">
        <f t="shared" si="7"/>
        <v>2549</v>
      </c>
      <c r="F66" s="34">
        <v>1097</v>
      </c>
      <c r="G66" s="34">
        <f t="shared" si="8"/>
        <v>1097</v>
      </c>
      <c r="H66" s="34">
        <f t="shared" si="9"/>
        <v>1452</v>
      </c>
      <c r="I66" s="34">
        <f t="shared" si="10"/>
        <v>0</v>
      </c>
      <c r="J66" s="34">
        <v>18</v>
      </c>
      <c r="K66" s="34">
        <f t="shared" si="11"/>
        <v>18</v>
      </c>
      <c r="L66" s="35">
        <f t="shared" si="12"/>
        <v>1</v>
      </c>
      <c r="M66" s="34">
        <v>17</v>
      </c>
      <c r="N66" s="34">
        <v>1108</v>
      </c>
      <c r="O66" s="35">
        <f t="shared" si="13"/>
        <v>0.98997265268915224</v>
      </c>
    </row>
    <row r="67" spans="1:15" ht="16">
      <c r="A67" s="41">
        <v>45962</v>
      </c>
      <c r="B67" s="2" t="s">
        <v>67</v>
      </c>
      <c r="C67" s="34">
        <v>900</v>
      </c>
      <c r="D67" s="34">
        <v>1533</v>
      </c>
      <c r="E67" s="34">
        <f t="shared" si="7"/>
        <v>2433</v>
      </c>
      <c r="F67" s="34">
        <v>1113</v>
      </c>
      <c r="G67" s="34">
        <f t="shared" si="8"/>
        <v>1113</v>
      </c>
      <c r="H67" s="34">
        <f t="shared" si="9"/>
        <v>1320</v>
      </c>
      <c r="I67" s="34">
        <f t="shared" si="10"/>
        <v>0</v>
      </c>
      <c r="J67" s="34">
        <v>19</v>
      </c>
      <c r="K67" s="34">
        <f t="shared" si="11"/>
        <v>19</v>
      </c>
      <c r="L67" s="35">
        <f t="shared" si="12"/>
        <v>1</v>
      </c>
      <c r="M67" s="34">
        <v>18</v>
      </c>
      <c r="N67" s="34">
        <v>1135</v>
      </c>
      <c r="O67" s="35">
        <f t="shared" si="13"/>
        <v>0.9802336028751123</v>
      </c>
    </row>
    <row r="68" spans="1:15" ht="16">
      <c r="A68" s="41">
        <v>45962</v>
      </c>
      <c r="B68" s="2" t="s">
        <v>68</v>
      </c>
      <c r="C68" s="34">
        <v>810</v>
      </c>
      <c r="D68" s="34">
        <v>1361</v>
      </c>
      <c r="E68" s="34">
        <f t="shared" ref="E68:E99" si="14">C68+D68</f>
        <v>2171</v>
      </c>
      <c r="F68" s="34">
        <v>983</v>
      </c>
      <c r="G68" s="34">
        <f t="shared" ref="G68:G99" si="15">MIN(E68,F68)</f>
        <v>983</v>
      </c>
      <c r="H68" s="34">
        <f t="shared" ref="H68:H99" si="16">E68-G68</f>
        <v>1188</v>
      </c>
      <c r="I68" s="34">
        <f t="shared" ref="I68:I75" si="17">MAX(0,F68-G68)</f>
        <v>0</v>
      </c>
      <c r="J68" s="34">
        <v>16</v>
      </c>
      <c r="K68" s="34">
        <f t="shared" ref="K68:K99" si="18">MAX(0,J68-ROUNDUP(I68/60,0))</f>
        <v>16</v>
      </c>
      <c r="L68" s="35">
        <f t="shared" ref="L68:L75" si="19">IFERROR(G68/F68,0)</f>
        <v>1</v>
      </c>
      <c r="M68" s="34">
        <v>16</v>
      </c>
      <c r="N68" s="34">
        <v>944</v>
      </c>
      <c r="O68" s="35">
        <f t="shared" ref="O68:O99" si="20">IFERROR(1-ABS(N68-F68)/F68,0)</f>
        <v>0.96032553407934895</v>
      </c>
    </row>
    <row r="69" spans="1:15" ht="16">
      <c r="A69" s="41">
        <v>45962</v>
      </c>
      <c r="B69" s="2" t="s">
        <v>69</v>
      </c>
      <c r="C69" s="34">
        <v>1170</v>
      </c>
      <c r="D69" s="34">
        <v>1938</v>
      </c>
      <c r="E69" s="34">
        <f t="shared" si="14"/>
        <v>3108</v>
      </c>
      <c r="F69" s="34">
        <v>1392</v>
      </c>
      <c r="G69" s="34">
        <f t="shared" si="15"/>
        <v>1392</v>
      </c>
      <c r="H69" s="34">
        <f t="shared" si="16"/>
        <v>1716</v>
      </c>
      <c r="I69" s="34">
        <f t="shared" si="17"/>
        <v>0</v>
      </c>
      <c r="J69" s="34">
        <v>23</v>
      </c>
      <c r="K69" s="34">
        <f t="shared" si="18"/>
        <v>23</v>
      </c>
      <c r="L69" s="35">
        <f t="shared" si="19"/>
        <v>1</v>
      </c>
      <c r="M69" s="34">
        <v>22</v>
      </c>
      <c r="N69" s="34">
        <v>1350</v>
      </c>
      <c r="O69" s="35">
        <f t="shared" si="20"/>
        <v>0.96982758620689657</v>
      </c>
    </row>
    <row r="70" spans="1:15" ht="16">
      <c r="A70" s="41">
        <v>45992</v>
      </c>
      <c r="B70" s="2" t="s">
        <v>64</v>
      </c>
      <c r="C70" s="34">
        <v>1980</v>
      </c>
      <c r="D70" s="34">
        <v>1670</v>
      </c>
      <c r="E70" s="34">
        <f t="shared" si="14"/>
        <v>3650</v>
      </c>
      <c r="F70" s="34">
        <v>1670</v>
      </c>
      <c r="G70" s="34">
        <f t="shared" si="15"/>
        <v>1670</v>
      </c>
      <c r="H70" s="34">
        <f t="shared" si="16"/>
        <v>1980</v>
      </c>
      <c r="I70" s="34">
        <f t="shared" si="17"/>
        <v>0</v>
      </c>
      <c r="J70" s="34">
        <v>28</v>
      </c>
      <c r="K70" s="34">
        <f t="shared" si="18"/>
        <v>28</v>
      </c>
      <c r="L70" s="35">
        <f t="shared" si="19"/>
        <v>1</v>
      </c>
      <c r="M70" s="34">
        <v>27</v>
      </c>
      <c r="N70" s="34">
        <v>1670</v>
      </c>
      <c r="O70" s="35">
        <f t="shared" si="20"/>
        <v>1</v>
      </c>
    </row>
    <row r="71" spans="1:15" ht="16">
      <c r="A71" s="41">
        <v>45992</v>
      </c>
      <c r="B71" s="2" t="s">
        <v>65</v>
      </c>
      <c r="C71" s="34">
        <v>1584</v>
      </c>
      <c r="D71" s="34">
        <v>1310</v>
      </c>
      <c r="E71" s="34">
        <f t="shared" si="14"/>
        <v>2894</v>
      </c>
      <c r="F71" s="34">
        <v>1310</v>
      </c>
      <c r="G71" s="34">
        <f t="shared" si="15"/>
        <v>1310</v>
      </c>
      <c r="H71" s="34">
        <f t="shared" si="16"/>
        <v>1584</v>
      </c>
      <c r="I71" s="34">
        <f t="shared" si="17"/>
        <v>0</v>
      </c>
      <c r="J71" s="34">
        <v>22</v>
      </c>
      <c r="K71" s="34">
        <f t="shared" si="18"/>
        <v>22</v>
      </c>
      <c r="L71" s="35">
        <f t="shared" si="19"/>
        <v>1</v>
      </c>
      <c r="M71" s="34">
        <v>21</v>
      </c>
      <c r="N71" s="34">
        <v>1323</v>
      </c>
      <c r="O71" s="35">
        <f t="shared" si="20"/>
        <v>0.99007633587786259</v>
      </c>
    </row>
    <row r="72" spans="1:15" ht="16">
      <c r="A72" s="41">
        <v>45992</v>
      </c>
      <c r="B72" s="2" t="s">
        <v>66</v>
      </c>
      <c r="C72" s="34">
        <v>1452</v>
      </c>
      <c r="D72" s="34">
        <v>1178</v>
      </c>
      <c r="E72" s="34">
        <f t="shared" si="14"/>
        <v>2630</v>
      </c>
      <c r="F72" s="34">
        <v>1178</v>
      </c>
      <c r="G72" s="34">
        <f t="shared" si="15"/>
        <v>1178</v>
      </c>
      <c r="H72" s="34">
        <f t="shared" si="16"/>
        <v>1452</v>
      </c>
      <c r="I72" s="34">
        <f t="shared" si="17"/>
        <v>0</v>
      </c>
      <c r="J72" s="34">
        <v>20</v>
      </c>
      <c r="K72" s="34">
        <f t="shared" si="18"/>
        <v>20</v>
      </c>
      <c r="L72" s="35">
        <f t="shared" si="19"/>
        <v>1</v>
      </c>
      <c r="M72" s="34">
        <v>19</v>
      </c>
      <c r="N72" s="34">
        <v>1202</v>
      </c>
      <c r="O72" s="35">
        <f t="shared" si="20"/>
        <v>0.97962648556876064</v>
      </c>
    </row>
    <row r="73" spans="1:15" ht="16">
      <c r="A73" s="41">
        <v>45992</v>
      </c>
      <c r="B73" s="2" t="s">
        <v>67</v>
      </c>
      <c r="C73" s="34">
        <v>1320</v>
      </c>
      <c r="D73" s="34">
        <v>1050</v>
      </c>
      <c r="E73" s="34">
        <f t="shared" si="14"/>
        <v>2370</v>
      </c>
      <c r="F73" s="34">
        <v>1050</v>
      </c>
      <c r="G73" s="34">
        <f t="shared" si="15"/>
        <v>1050</v>
      </c>
      <c r="H73" s="34">
        <f t="shared" si="16"/>
        <v>1320</v>
      </c>
      <c r="I73" s="34">
        <f t="shared" si="17"/>
        <v>0</v>
      </c>
      <c r="J73" s="34">
        <v>18</v>
      </c>
      <c r="K73" s="34">
        <f t="shared" si="18"/>
        <v>18</v>
      </c>
      <c r="L73" s="35">
        <f t="shared" si="19"/>
        <v>1</v>
      </c>
      <c r="M73" s="34">
        <v>17</v>
      </c>
      <c r="N73" s="34">
        <v>1008</v>
      </c>
      <c r="O73" s="35">
        <f t="shared" si="20"/>
        <v>0.96</v>
      </c>
    </row>
    <row r="74" spans="1:15" ht="16">
      <c r="A74" s="41">
        <v>45992</v>
      </c>
      <c r="B74" s="2" t="s">
        <v>68</v>
      </c>
      <c r="C74" s="34">
        <v>1188</v>
      </c>
      <c r="D74" s="34">
        <v>926</v>
      </c>
      <c r="E74" s="34">
        <f t="shared" si="14"/>
        <v>2114</v>
      </c>
      <c r="F74" s="34">
        <v>926</v>
      </c>
      <c r="G74" s="34">
        <f t="shared" si="15"/>
        <v>926</v>
      </c>
      <c r="H74" s="34">
        <f t="shared" si="16"/>
        <v>1188</v>
      </c>
      <c r="I74" s="34">
        <f t="shared" si="17"/>
        <v>0</v>
      </c>
      <c r="J74" s="34">
        <v>15</v>
      </c>
      <c r="K74" s="34">
        <f t="shared" si="18"/>
        <v>15</v>
      </c>
      <c r="L74" s="35">
        <f t="shared" si="19"/>
        <v>1</v>
      </c>
      <c r="M74" s="34">
        <v>15</v>
      </c>
      <c r="N74" s="34">
        <v>898</v>
      </c>
      <c r="O74" s="35">
        <f t="shared" si="20"/>
        <v>0.96976241900647953</v>
      </c>
    </row>
    <row r="75" spans="1:15" ht="16">
      <c r="A75" s="41">
        <v>45992</v>
      </c>
      <c r="B75" s="2" t="s">
        <v>69</v>
      </c>
      <c r="C75" s="34">
        <v>1716</v>
      </c>
      <c r="D75" s="34">
        <v>1310</v>
      </c>
      <c r="E75" s="34">
        <f t="shared" si="14"/>
        <v>3026</v>
      </c>
      <c r="F75" s="34">
        <v>1310</v>
      </c>
      <c r="G75" s="34">
        <f t="shared" si="15"/>
        <v>1310</v>
      </c>
      <c r="H75" s="34">
        <f t="shared" si="16"/>
        <v>1716</v>
      </c>
      <c r="I75" s="34">
        <f t="shared" si="17"/>
        <v>0</v>
      </c>
      <c r="J75" s="34">
        <v>22</v>
      </c>
      <c r="K75" s="34">
        <f t="shared" si="18"/>
        <v>22</v>
      </c>
      <c r="L75" s="35">
        <f t="shared" si="19"/>
        <v>1</v>
      </c>
      <c r="M75" s="34">
        <v>21</v>
      </c>
      <c r="N75" s="34">
        <v>1284</v>
      </c>
      <c r="O75" s="35">
        <f t="shared" si="20"/>
        <v>0.98015267175572518</v>
      </c>
    </row>
  </sheetData>
  <mergeCells count="1">
    <mergeCell ref="A1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tabSelected="1" workbookViewId="0">
      <selection activeCell="C20" sqref="C20"/>
    </sheetView>
  </sheetViews>
  <sheetFormatPr baseColWidth="10" defaultColWidth="8.83203125" defaultRowHeight="16"/>
  <cols>
    <col min="1" max="1" width="23" style="1" customWidth="1"/>
    <col min="2" max="2" width="34" style="1" customWidth="1"/>
    <col min="3" max="3" width="36" style="1" customWidth="1"/>
    <col min="4" max="6" width="16" style="1" customWidth="1"/>
    <col min="7" max="7" width="34" style="1" customWidth="1"/>
    <col min="8" max="16384" width="8.83203125" style="1"/>
  </cols>
  <sheetData>
    <row r="1" spans="1:7" ht="34" customHeight="1">
      <c r="A1" s="17" t="s">
        <v>82</v>
      </c>
      <c r="B1" s="17" t="s">
        <v>82</v>
      </c>
      <c r="C1" s="17" t="s">
        <v>82</v>
      </c>
      <c r="D1" s="17" t="s">
        <v>82</v>
      </c>
      <c r="E1" s="17" t="s">
        <v>82</v>
      </c>
      <c r="F1" s="17" t="s">
        <v>82</v>
      </c>
      <c r="G1" s="17" t="s">
        <v>82</v>
      </c>
    </row>
    <row r="2" spans="1:7" ht="34" customHeight="1">
      <c r="A2" s="17" t="s">
        <v>82</v>
      </c>
      <c r="B2" s="17" t="s">
        <v>82</v>
      </c>
      <c r="C2" s="17" t="s">
        <v>82</v>
      </c>
      <c r="D2" s="17" t="s">
        <v>82</v>
      </c>
      <c r="E2" s="17" t="s">
        <v>82</v>
      </c>
      <c r="F2" s="17" t="s">
        <v>82</v>
      </c>
      <c r="G2" s="17" t="s">
        <v>82</v>
      </c>
    </row>
    <row r="3" spans="1:7">
      <c r="A3" s="2"/>
      <c r="B3" s="2"/>
      <c r="C3" s="2"/>
      <c r="D3" s="2"/>
      <c r="E3" s="2"/>
      <c r="F3" s="2"/>
      <c r="G3" s="2"/>
    </row>
    <row r="4" spans="1:7" ht="17">
      <c r="A4" s="31" t="s">
        <v>83</v>
      </c>
      <c r="B4" s="32" t="s">
        <v>84</v>
      </c>
      <c r="C4" s="32" t="s">
        <v>85</v>
      </c>
      <c r="D4" s="32" t="s">
        <v>86</v>
      </c>
      <c r="E4" s="32" t="s">
        <v>87</v>
      </c>
      <c r="F4" s="32" t="s">
        <v>88</v>
      </c>
      <c r="G4" s="33" t="s">
        <v>89</v>
      </c>
    </row>
    <row r="5" spans="1:7" ht="34">
      <c r="A5" s="42" t="s">
        <v>90</v>
      </c>
      <c r="B5" s="43" t="s">
        <v>91</v>
      </c>
      <c r="C5" s="43" t="s">
        <v>92</v>
      </c>
      <c r="D5" s="43" t="s">
        <v>93</v>
      </c>
      <c r="E5" s="43" t="s">
        <v>94</v>
      </c>
      <c r="F5" s="43" t="s">
        <v>95</v>
      </c>
      <c r="G5" s="44" t="s">
        <v>96</v>
      </c>
    </row>
    <row r="6" spans="1:7" ht="17">
      <c r="A6" s="45" t="s">
        <v>32</v>
      </c>
      <c r="B6" s="46" t="s">
        <v>97</v>
      </c>
      <c r="C6" s="46" t="s">
        <v>98</v>
      </c>
      <c r="D6" s="46" t="s">
        <v>99</v>
      </c>
      <c r="E6" s="46" t="s">
        <v>100</v>
      </c>
      <c r="F6" s="46" t="s">
        <v>101</v>
      </c>
      <c r="G6" s="47" t="s">
        <v>102</v>
      </c>
    </row>
    <row r="7" spans="1:7" ht="34">
      <c r="A7" s="45" t="s">
        <v>61</v>
      </c>
      <c r="B7" s="46" t="s">
        <v>103</v>
      </c>
      <c r="C7" s="46" t="s">
        <v>104</v>
      </c>
      <c r="D7" s="46" t="s">
        <v>105</v>
      </c>
      <c r="E7" s="46" t="s">
        <v>94</v>
      </c>
      <c r="F7" s="46" t="s">
        <v>95</v>
      </c>
      <c r="G7" s="47" t="s">
        <v>106</v>
      </c>
    </row>
    <row r="8" spans="1:7" ht="34">
      <c r="A8" s="45" t="s">
        <v>48</v>
      </c>
      <c r="B8" s="46" t="s">
        <v>107</v>
      </c>
      <c r="C8" s="46" t="s">
        <v>108</v>
      </c>
      <c r="D8" s="46" t="s">
        <v>109</v>
      </c>
      <c r="E8" s="46" t="s">
        <v>94</v>
      </c>
      <c r="F8" s="46" t="s">
        <v>110</v>
      </c>
      <c r="G8" s="47" t="s">
        <v>111</v>
      </c>
    </row>
    <row r="9" spans="1:7" ht="17">
      <c r="A9" s="45" t="s">
        <v>81</v>
      </c>
      <c r="B9" s="46" t="s">
        <v>112</v>
      </c>
      <c r="C9" s="46" t="s">
        <v>113</v>
      </c>
      <c r="D9" s="46" t="s">
        <v>114</v>
      </c>
      <c r="E9" s="46" t="s">
        <v>115</v>
      </c>
      <c r="F9" s="46" t="s">
        <v>1</v>
      </c>
      <c r="G9" s="47" t="s">
        <v>116</v>
      </c>
    </row>
    <row r="10" spans="1:7" ht="17">
      <c r="A10" s="45" t="s">
        <v>117</v>
      </c>
      <c r="B10" s="46" t="s">
        <v>118</v>
      </c>
      <c r="C10" s="46" t="s">
        <v>119</v>
      </c>
      <c r="D10" s="46" t="s">
        <v>120</v>
      </c>
      <c r="E10" s="46" t="s">
        <v>94</v>
      </c>
      <c r="F10" s="46" t="s">
        <v>121</v>
      </c>
      <c r="G10" s="47" t="s">
        <v>122</v>
      </c>
    </row>
    <row r="11" spans="1:7" ht="34">
      <c r="A11" s="45" t="s">
        <v>123</v>
      </c>
      <c r="B11" s="46" t="s">
        <v>124</v>
      </c>
      <c r="C11" s="46" t="s">
        <v>125</v>
      </c>
      <c r="D11" s="46" t="s">
        <v>126</v>
      </c>
      <c r="E11" s="46" t="s">
        <v>115</v>
      </c>
      <c r="F11" s="46" t="s">
        <v>127</v>
      </c>
      <c r="G11" s="47" t="s">
        <v>128</v>
      </c>
    </row>
    <row r="12" spans="1:7" ht="34">
      <c r="A12" s="45" t="s">
        <v>129</v>
      </c>
      <c r="B12" s="46" t="s">
        <v>130</v>
      </c>
      <c r="C12" s="46" t="s">
        <v>131</v>
      </c>
      <c r="D12" s="46" t="s">
        <v>132</v>
      </c>
      <c r="E12" s="46" t="s">
        <v>133</v>
      </c>
      <c r="F12" s="46" t="s">
        <v>1</v>
      </c>
      <c r="G12" s="47" t="s">
        <v>134</v>
      </c>
    </row>
    <row r="13" spans="1:7" ht="17">
      <c r="A13" s="48" t="s">
        <v>135</v>
      </c>
      <c r="B13" s="49" t="s">
        <v>136</v>
      </c>
      <c r="C13" s="49" t="s">
        <v>137</v>
      </c>
      <c r="D13" s="49" t="s">
        <v>138</v>
      </c>
      <c r="E13" s="49" t="s">
        <v>139</v>
      </c>
      <c r="F13" s="49" t="s">
        <v>1</v>
      </c>
      <c r="G13" s="50" t="s">
        <v>140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Summary</vt:lpstr>
      <vt:lpstr>Dashboard</vt:lpstr>
      <vt:lpstr>Inventory Tracker</vt:lpstr>
      <vt:lpstr>Historical Data</vt:lpstr>
      <vt:lpstr>KPI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Agnes Abiodun Iwaye</cp:lastModifiedBy>
  <dcterms:modified xsi:type="dcterms:W3CDTF">2026-09-01T22:34:08Z</dcterms:modified>
</cp:coreProperties>
</file>